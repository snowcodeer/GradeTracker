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3CFD42B2-1B67-4CE6-A298-6FA6FC057B75}" xr6:coauthVersionLast="47" xr6:coauthVersionMax="47" xr10:uidLastSave="{00000000-0000-0000-0000-000000000000}"/>
  <bookViews>
    <workbookView xWindow="-108" yWindow="-108" windowWidth="23256" windowHeight="13896" activeTab="8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definedNames>
    <definedName name="_xlnm._FilterDatabase" localSheetId="2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2" l="1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K14" i="12" l="1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N68" i="4"/>
  <c r="K68" i="4"/>
  <c r="M68" i="4" s="1"/>
  <c r="J68" i="4"/>
  <c r="L68" i="4" s="1"/>
  <c r="K67" i="4"/>
  <c r="M67" i="4" s="1"/>
  <c r="J67" i="4"/>
  <c r="L67" i="4" s="1"/>
  <c r="K66" i="4"/>
  <c r="N66" i="4" s="1"/>
  <c r="J66" i="4"/>
  <c r="L66" i="4" s="1"/>
  <c r="K65" i="4"/>
  <c r="N65" i="4" s="1"/>
  <c r="J65" i="4"/>
  <c r="L65" i="4" s="1"/>
  <c r="K64" i="4"/>
  <c r="N64" i="4" s="1"/>
  <c r="J64" i="4"/>
  <c r="L64" i="4" s="1"/>
  <c r="K63" i="4"/>
  <c r="N63" i="4" s="1"/>
  <c r="J63" i="4"/>
  <c r="L63" i="4" s="1"/>
  <c r="K62" i="4"/>
  <c r="N62" i="4" s="1"/>
  <c r="J62" i="4"/>
  <c r="L62" i="4" s="1"/>
  <c r="K61" i="4"/>
  <c r="N61" i="4" s="1"/>
  <c r="J61" i="4"/>
  <c r="L61" i="4" s="1"/>
  <c r="K60" i="4"/>
  <c r="N60" i="4" s="1"/>
  <c r="J60" i="4"/>
  <c r="L60" i="4" s="1"/>
  <c r="K56" i="4"/>
  <c r="J56" i="4"/>
  <c r="L56" i="4" s="1"/>
  <c r="K54" i="4"/>
  <c r="J54" i="4"/>
  <c r="L54" i="4" s="1"/>
  <c r="K53" i="4"/>
  <c r="J53" i="4"/>
  <c r="K51" i="4"/>
  <c r="J51" i="4"/>
  <c r="L51" i="4" s="1"/>
  <c r="K49" i="4"/>
  <c r="J49" i="4"/>
  <c r="L49" i="4" s="1"/>
  <c r="K46" i="4"/>
  <c r="J46" i="4"/>
  <c r="L46" i="4" s="1"/>
  <c r="K42" i="4"/>
  <c r="J42" i="4"/>
  <c r="L42" i="4" s="1"/>
  <c r="K40" i="4"/>
  <c r="J40" i="4"/>
  <c r="L40" i="4" s="1"/>
  <c r="K35" i="4"/>
  <c r="J35" i="4"/>
  <c r="L35" i="4" s="1"/>
  <c r="K31" i="4"/>
  <c r="J31" i="4"/>
  <c r="L31" i="4" s="1"/>
  <c r="K27" i="4"/>
  <c r="J27" i="4"/>
  <c r="L27" i="4" s="1"/>
  <c r="K19" i="4"/>
  <c r="J19" i="4"/>
  <c r="K17" i="4"/>
  <c r="J17" i="4"/>
  <c r="K12" i="4"/>
  <c r="J12" i="4"/>
  <c r="K8" i="4"/>
  <c r="J8" i="4"/>
  <c r="K4" i="4"/>
  <c r="J4" i="4"/>
  <c r="K46" i="3"/>
  <c r="N46" i="3" s="1"/>
  <c r="J46" i="3"/>
  <c r="K47" i="3"/>
  <c r="N47" i="3" s="1"/>
  <c r="J47" i="3"/>
  <c r="K48" i="3"/>
  <c r="M48" i="3" s="1"/>
  <c r="J48" i="3"/>
  <c r="J43" i="3"/>
  <c r="J34" i="3"/>
  <c r="K44" i="3"/>
  <c r="J44" i="3"/>
  <c r="K43" i="3"/>
  <c r="K39" i="3"/>
  <c r="J39" i="3"/>
  <c r="K37" i="3"/>
  <c r="J37" i="3"/>
  <c r="K35" i="3"/>
  <c r="J35" i="3"/>
  <c r="K34" i="3"/>
  <c r="K32" i="3"/>
  <c r="J32" i="3"/>
  <c r="K29" i="3"/>
  <c r="J29" i="3"/>
  <c r="K23" i="3"/>
  <c r="J23" i="3"/>
  <c r="K27" i="3"/>
  <c r="J27" i="3"/>
  <c r="K11" i="3"/>
  <c r="K9" i="3"/>
  <c r="J4" i="3"/>
  <c r="K4" i="3"/>
  <c r="J9" i="3"/>
  <c r="J16" i="3"/>
  <c r="J13" i="3"/>
  <c r="J11" i="3"/>
  <c r="L2" i="6" l="1"/>
  <c r="M2" i="6"/>
  <c r="N2" i="6"/>
  <c r="L6" i="6"/>
  <c r="M6" i="6"/>
  <c r="O6" i="6"/>
  <c r="L4" i="3"/>
  <c r="N67" i="4"/>
  <c r="N53" i="4"/>
  <c r="N42" i="4"/>
  <c r="L53" i="4"/>
  <c r="M53" i="4"/>
  <c r="M31" i="4"/>
  <c r="M63" i="4"/>
  <c r="N35" i="4"/>
  <c r="M54" i="4"/>
  <c r="N40" i="4"/>
  <c r="N56" i="4"/>
  <c r="M64" i="4"/>
  <c r="M42" i="4"/>
  <c r="M61" i="4"/>
  <c r="M65" i="4"/>
  <c r="N46" i="4"/>
  <c r="N49" i="4"/>
  <c r="N51" i="4"/>
  <c r="M62" i="4"/>
  <c r="M66" i="4"/>
  <c r="M46" i="4"/>
  <c r="N31" i="4"/>
  <c r="N54" i="4"/>
  <c r="M40" i="4"/>
  <c r="M51" i="4"/>
  <c r="M60" i="4"/>
  <c r="N27" i="4"/>
  <c r="M35" i="4"/>
  <c r="M49" i="4"/>
  <c r="M56" i="4"/>
  <c r="M27" i="4"/>
  <c r="L17" i="4"/>
  <c r="L19" i="4"/>
  <c r="L4" i="4"/>
  <c r="L12" i="4"/>
  <c r="L8" i="4"/>
  <c r="N17" i="4"/>
  <c r="N19" i="4"/>
  <c r="N8" i="4"/>
  <c r="N12" i="4"/>
  <c r="M17" i="4"/>
  <c r="M19" i="4"/>
  <c r="M8" i="4"/>
  <c r="M12" i="4"/>
  <c r="N4" i="4"/>
  <c r="M4" i="4"/>
  <c r="L32" i="3"/>
  <c r="L47" i="3"/>
  <c r="L27" i="3"/>
  <c r="L46" i="3"/>
  <c r="L35" i="3"/>
  <c r="L23" i="3"/>
  <c r="L44" i="3"/>
  <c r="L39" i="3"/>
  <c r="L29" i="3"/>
  <c r="L48" i="3"/>
  <c r="M47" i="3"/>
  <c r="M46" i="3"/>
  <c r="N44" i="3"/>
  <c r="L37" i="3"/>
  <c r="N39" i="3"/>
  <c r="M44" i="3"/>
  <c r="L34" i="3"/>
  <c r="L43" i="3"/>
  <c r="N35" i="3"/>
  <c r="M37" i="3"/>
  <c r="N37" i="3"/>
  <c r="N48" i="3"/>
  <c r="M35" i="3"/>
  <c r="N27" i="3"/>
  <c r="M39" i="3"/>
  <c r="N43" i="3"/>
  <c r="M43" i="3"/>
  <c r="M27" i="3"/>
  <c r="M23" i="3"/>
  <c r="N23" i="3"/>
  <c r="N29" i="3"/>
  <c r="N32" i="3"/>
  <c r="M29" i="3"/>
  <c r="M32" i="3"/>
  <c r="N34" i="3"/>
  <c r="M34" i="3"/>
  <c r="K16" i="3"/>
  <c r="K13" i="3"/>
  <c r="L16" i="3" l="1"/>
  <c r="L11" i="3"/>
  <c r="M16" i="3"/>
  <c r="N16" i="3"/>
  <c r="N13" i="3"/>
  <c r="L13" i="3"/>
  <c r="M4" i="3"/>
  <c r="M9" i="3"/>
  <c r="L9" i="3"/>
  <c r="N9" i="3"/>
  <c r="N11" i="3"/>
  <c r="N4" i="3"/>
  <c r="M13" i="3"/>
  <c r="M11" i="3"/>
</calcChain>
</file>

<file path=xl/sharedStrings.xml><?xml version="1.0" encoding="utf-8"?>
<sst xmlns="http://schemas.openxmlformats.org/spreadsheetml/2006/main" count="832" uniqueCount="321">
  <si>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</si>
  <si>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</si>
  <si>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</si>
  <si>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</si>
  <si>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</si>
  <si>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</si>
  <si>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</si>
  <si>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</si>
  <si>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</si>
  <si>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</si>
  <si>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</si>
  <si>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</si>
  <si>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</si>
  <si>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</si>
  <si>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</si>
  <si>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</si>
  <si>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</si>
  <si>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</si>
  <si>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</si>
  <si>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</si>
  <si>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</si>
  <si>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</si>
  <si>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</si>
  <si>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</si>
  <si>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</si>
  <si>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</si>
  <si>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</si>
  <si>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</si>
  <si>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</si>
  <si>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</si>
  <si>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</si>
  <si>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</si>
  <si>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</si>
  <si>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</si>
  <si>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</si>
  <si>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</si>
  <si>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</si>
  <si>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</si>
  <si>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</si>
  <si>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</si>
  <si>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</si>
  <si>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</si>
  <si>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</si>
  <si>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</si>
  <si>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</si>
  <si>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</si>
  <si>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</si>
  <si>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</si>
  <si>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</si>
  <si>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</si>
  <si>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</si>
  <si>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</si>
  <si>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</si>
  <si>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</si>
  <si>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</si>
  <si>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</si>
  <si>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</si>
  <si>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</si>
  <si>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</si>
  <si>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</si>
  <si>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</si>
  <si>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</si>
  <si>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</si>
  <si>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</si>
  <si>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</si>
  <si>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</si>
  <si>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</si>
  <si>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</si>
  <si>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</si>
  <si>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</si>
  <si>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</si>
  <si>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</si>
  <si>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</si>
  <si>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</si>
  <si>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</si>
  <si>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</si>
  <si>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</si>
  <si>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</si>
  <si>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</si>
  <si>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</si>
  <si>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</si>
  <si>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</si>
  <si>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</si>
  <si>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</si>
  <si>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</si>
  <si>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</si>
  <si>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</si>
  <si>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</si>
  <si>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</si>
  <si>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</si>
  <si>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</si>
  <si>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</si>
  <si>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</si>
  <si>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</si>
  <si>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</si>
  <si>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</si>
  <si>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</si>
  <si>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</si>
  <si>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</si>
  <si>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</si>
  <si>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</si>
  <si>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</si>
  <si>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</si>
  <si>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</si>
  <si>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</si>
  <si>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</si>
  <si>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</si>
  <si>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</si>
  <si>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</si>
  <si>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</si>
  <si>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</si>
  <si>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</si>
  <si>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</si>
  <si>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</si>
  <si>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</si>
  <si>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</si>
  <si>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</si>
  <si>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</si>
  <si>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</si>
  <si>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</si>
  <si>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</si>
  <si>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</si>
  <si>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</si>
  <si>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</si>
  <si>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</si>
  <si>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</si>
  <si>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</si>
  <si>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</si>
  <si>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</si>
  <si>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</si>
  <si>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</si>
  <si>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</si>
  <si>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</si>
  <si>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</si>
  <si>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</si>
  <si>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</si>
  <si>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</si>
  <si>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</si>
  <si>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</si>
  <si>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</si>
  <si>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</si>
  <si>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</si>
  <si>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</si>
  <si>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</si>
  <si>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</si>
  <si>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</si>
  <si>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</si>
  <si>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</si>
  <si>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</si>
  <si>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</si>
  <si>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t>BIOE60002</t>
  </si>
  <si>
    <t>Biomedical
Advanced and
Computational
Stress Analysis</t>
  </si>
  <si>
    <t>Technical drawing coursework</t>
  </si>
  <si>
    <t>FEA coursework</t>
  </si>
  <si>
    <t>Technical report - stress analysis
of a part or assembly</t>
  </si>
  <si>
    <t>Digital Biosignal
Processing</t>
  </si>
  <si>
    <t>BIOE60007</t>
  </si>
  <si>
    <t>Human Centred
Design of Assistive
and Rehabilitation
Devices</t>
  </si>
  <si>
    <t>Oral exam</t>
  </si>
  <si>
    <t>Individual report on design</t>
  </si>
  <si>
    <t>Individual report on lecture</t>
  </si>
  <si>
    <t>Competition</t>
  </si>
  <si>
    <t>Group report</t>
  </si>
  <si>
    <t>BIOE60009</t>
  </si>
  <si>
    <t>Physiological Fluid
Mechanics</t>
  </si>
  <si>
    <t>Software Engineering for
Bioengineers</t>
  </si>
  <si>
    <t>Foundations of Synthetic
Biology</t>
  </si>
  <si>
    <t>Tissue Engineering and
Regenerative Medicine</t>
  </si>
  <si>
    <t>Advanced Imaging
Technologies for Systems
Biology</t>
  </si>
  <si>
    <t>Communicating Biomedical
Science and Engineering</t>
  </si>
  <si>
    <t>COMP60005</t>
  </si>
  <si>
    <t>Graphics</t>
  </si>
  <si>
    <t>Set by DoC</t>
  </si>
  <si>
    <t>Statistical Signal
Processing and Inference</t>
  </si>
  <si>
    <t>ELEC60023</t>
  </si>
  <si>
    <t>Optoelectronics</t>
  </si>
  <si>
    <t>ELEC60029</t>
  </si>
  <si>
    <t>Semiconductor Devices</t>
  </si>
  <si>
    <t>MECH60001</t>
  </si>
  <si>
    <t>Machine Dynamics and
Vibrations</t>
  </si>
  <si>
    <t>Set by Mech Eng</t>
  </si>
  <si>
    <t>MECH60008</t>
  </si>
  <si>
    <t>Computational Continuum
Mechanics</t>
  </si>
  <si>
    <t>MECH60019</t>
  </si>
  <si>
    <t>Tribology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</si>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</sst>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72" formatCode="0.0"/>
  </numFmts>
  <fonts count="19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91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0" fillId="0" borderId="0"/>
  </cellStyleXfs>
  <cellXfs count="385">
    <xf numFmtId="0" fontId="0" fillId="0" borderId="0" xfId="0"/>
    <xf numFmtId="0" fontId="4" fillId="0" borderId="2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20" xfId="0" applyFont="1" applyBorder="1" applyAlignment="1">
      <alignment vertical="center" wrapText="1"/>
    </xf>
    <xf numFmtId="9" fontId="4" fillId="0" borderId="2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vertical="center" wrapText="1"/>
    </xf>
    <xf numFmtId="0" fontId="4" fillId="0" borderId="29" xfId="0" applyFont="1" applyBorder="1" applyAlignment="1">
      <alignment vertical="center" wrapText="1"/>
    </xf>
    <xf numFmtId="0" fontId="4" fillId="0" borderId="30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2" fontId="4" fillId="0" borderId="8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2" fontId="4" fillId="0" borderId="26" xfId="0" applyNumberFormat="1" applyFont="1" applyBorder="1" applyAlignment="1">
      <alignment vertical="center"/>
    </xf>
    <xf numFmtId="2" fontId="4" fillId="0" borderId="13" xfId="0" applyNumberFormat="1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2" fontId="4" fillId="0" borderId="30" xfId="0" applyNumberFormat="1" applyFont="1" applyBorder="1" applyAlignment="1">
      <alignment vertical="center"/>
    </xf>
    <xf numFmtId="0" fontId="3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4" fillId="0" borderId="7" xfId="0" applyFont="1" applyBorder="1" applyAlignment="1">
      <alignment vertical="center"/>
    </xf>
    <xf numFmtId="2" fontId="4" fillId="0" borderId="27" xfId="0" applyNumberFormat="1" applyFont="1" applyBorder="1" applyAlignment="1">
      <alignment vertical="center"/>
    </xf>
    <xf numFmtId="0" fontId="3" fillId="2" borderId="39" xfId="0" applyFont="1" applyFill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3" fillId="2" borderId="35" xfId="0" applyFont="1" applyFill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45" xfId="0" applyFont="1" applyBorder="1" applyAlignment="1">
      <alignment vertical="center"/>
    </xf>
    <xf numFmtId="2" fontId="4" fillId="0" borderId="45" xfId="0" applyNumberFormat="1" applyFont="1" applyBorder="1" applyAlignment="1">
      <alignment vertical="center"/>
    </xf>
    <xf numFmtId="2" fontId="4" fillId="0" borderId="52" xfId="0" applyNumberFormat="1" applyFont="1" applyBorder="1" applyAlignment="1">
      <alignment horizontal="center" vertical="center"/>
    </xf>
    <xf numFmtId="0" fontId="3" fillId="2" borderId="53" xfId="0" applyFont="1" applyFill="1" applyBorder="1" applyAlignment="1">
      <alignment vertical="center"/>
    </xf>
    <xf numFmtId="0" fontId="3" fillId="2" borderId="29" xfId="0" applyFont="1" applyFill="1" applyBorder="1" applyAlignment="1">
      <alignment vertical="center"/>
    </xf>
    <xf numFmtId="0" fontId="3" fillId="2" borderId="30" xfId="0" applyFont="1" applyFill="1" applyBorder="1" applyAlignment="1">
      <alignment vertical="center"/>
    </xf>
    <xf numFmtId="0" fontId="3" fillId="2" borderId="52" xfId="0" applyFont="1" applyFill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2" fontId="4" fillId="0" borderId="2" xfId="0" applyNumberFormat="1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4" fillId="0" borderId="41" xfId="0" applyFont="1" applyBorder="1" applyAlignment="1">
      <alignment vertical="center" wrapText="1"/>
    </xf>
    <xf numFmtId="0" fontId="4" fillId="0" borderId="58" xfId="0" applyFont="1" applyBorder="1" applyAlignment="1">
      <alignment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/>
    </xf>
    <xf numFmtId="9" fontId="4" fillId="0" borderId="34" xfId="0" applyNumberFormat="1" applyFont="1" applyBorder="1" applyAlignment="1">
      <alignment horizontal="left" vertical="center"/>
    </xf>
    <xf numFmtId="9" fontId="4" fillId="0" borderId="34" xfId="0" applyNumberFormat="1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2" fontId="4" fillId="0" borderId="34" xfId="0" applyNumberFormat="1" applyFont="1" applyBorder="1" applyAlignment="1">
      <alignment vertical="center"/>
    </xf>
    <xf numFmtId="2" fontId="4" fillId="0" borderId="34" xfId="0" applyNumberFormat="1" applyFont="1" applyBorder="1" applyAlignment="1">
      <alignment horizontal="center" vertical="center"/>
    </xf>
    <xf numFmtId="164" fontId="4" fillId="0" borderId="34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9" fontId="7" fillId="0" borderId="38" xfId="5" applyNumberFormat="1" applyFont="1" applyBorder="1" applyAlignment="1">
      <alignment horizontal="left" vertical="center" wrapText="1" shrinkToFit="1"/>
    </xf>
    <xf numFmtId="0" fontId="15" fillId="0" borderId="38" xfId="5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9" fontId="4" fillId="0" borderId="5" xfId="0" applyNumberFormat="1" applyFont="1" applyBorder="1" applyAlignment="1">
      <alignment horizontal="left" vertical="center"/>
    </xf>
    <xf numFmtId="9" fontId="4" fillId="0" borderId="8" xfId="0" applyNumberFormat="1" applyFont="1" applyBorder="1" applyAlignment="1">
      <alignment horizontal="left" vertical="center"/>
    </xf>
    <xf numFmtId="9" fontId="4" fillId="0" borderId="26" xfId="0" applyNumberFormat="1" applyFont="1" applyBorder="1" applyAlignment="1">
      <alignment horizontal="left" vertical="center"/>
    </xf>
    <xf numFmtId="9" fontId="4" fillId="0" borderId="45" xfId="0" applyNumberFormat="1" applyFont="1" applyBorder="1" applyAlignment="1">
      <alignment horizontal="left" vertical="center"/>
    </xf>
    <xf numFmtId="9" fontId="4" fillId="0" borderId="27" xfId="0" applyNumberFormat="1" applyFont="1" applyBorder="1" applyAlignment="1">
      <alignment horizontal="left" vertical="center"/>
    </xf>
    <xf numFmtId="9" fontId="4" fillId="0" borderId="2" xfId="0" applyNumberFormat="1" applyFont="1" applyBorder="1" applyAlignment="1">
      <alignment horizontal="left" vertical="center"/>
    </xf>
    <xf numFmtId="9" fontId="4" fillId="0" borderId="30" xfId="0" applyNumberFormat="1" applyFont="1" applyBorder="1" applyAlignment="1">
      <alignment horizontal="left" vertical="center"/>
    </xf>
    <xf numFmtId="9" fontId="4" fillId="0" borderId="5" xfId="1" applyFont="1" applyBorder="1" applyAlignment="1">
      <alignment horizontal="left" vertical="center"/>
    </xf>
    <xf numFmtId="9" fontId="4" fillId="0" borderId="8" xfId="1" applyFont="1" applyBorder="1" applyAlignment="1">
      <alignment horizontal="left" vertical="center"/>
    </xf>
    <xf numFmtId="9" fontId="8" fillId="0" borderId="30" xfId="0" applyNumberFormat="1" applyFont="1" applyBorder="1" applyAlignment="1">
      <alignment horizontal="left" vertical="center"/>
    </xf>
    <xf numFmtId="0" fontId="4" fillId="0" borderId="34" xfId="0" applyFont="1" applyBorder="1" applyAlignment="1">
      <alignment horizontal="left" vertical="center"/>
    </xf>
    <xf numFmtId="2" fontId="7" fillId="3" borderId="38" xfId="0" applyNumberFormat="1" applyFont="1" applyFill="1" applyBorder="1" applyAlignment="1">
      <alignment horizontal="left" vertical="center" wrapText="1"/>
    </xf>
    <xf numFmtId="2" fontId="7" fillId="0" borderId="60" xfId="0" applyNumberFormat="1" applyFont="1" applyBorder="1" applyAlignment="1">
      <alignment horizontal="left" vertical="center" wrapText="1"/>
    </xf>
    <xf numFmtId="0" fontId="3" fillId="2" borderId="59" xfId="0" applyFont="1" applyFill="1" applyBorder="1" applyAlignment="1">
      <alignment horizontal="left" vertical="center"/>
    </xf>
    <xf numFmtId="9" fontId="7" fillId="0" borderId="64" xfId="5" applyNumberFormat="1" applyFont="1" applyBorder="1" applyAlignment="1">
      <alignment horizontal="left" vertical="center" wrapText="1" shrinkToFit="1"/>
    </xf>
    <xf numFmtId="0" fontId="15" fillId="0" borderId="64" xfId="5" applyFont="1" applyBorder="1" applyAlignment="1">
      <alignment horizontal="left" vertical="center" wrapText="1"/>
    </xf>
    <xf numFmtId="2" fontId="7" fillId="0" borderId="64" xfId="0" applyNumberFormat="1" applyFont="1" applyBorder="1" applyAlignment="1">
      <alignment horizontal="left" vertical="center" wrapText="1"/>
    </xf>
    <xf numFmtId="9" fontId="7" fillId="0" borderId="60" xfId="5" applyNumberFormat="1" applyFont="1" applyBorder="1" applyAlignment="1">
      <alignment horizontal="left" vertical="center" wrapText="1" shrinkToFit="1"/>
    </xf>
    <xf numFmtId="0" fontId="15" fillId="0" borderId="60" xfId="5" applyFont="1" applyBorder="1" applyAlignment="1">
      <alignment horizontal="left" vertical="center" wrapText="1"/>
    </xf>
    <xf numFmtId="2" fontId="7" fillId="3" borderId="60" xfId="0" applyNumberFormat="1" applyFont="1" applyFill="1" applyBorder="1" applyAlignment="1">
      <alignment horizontal="left" vertical="center" wrapText="1"/>
    </xf>
    <xf numFmtId="9" fontId="7" fillId="0" borderId="65" xfId="5" applyNumberFormat="1" applyFont="1" applyBorder="1" applyAlignment="1">
      <alignment horizontal="left" vertical="center" wrapText="1" shrinkToFit="1"/>
    </xf>
    <xf numFmtId="0" fontId="15" fillId="0" borderId="65" xfId="5" applyFont="1" applyBorder="1" applyAlignment="1">
      <alignment horizontal="left" vertical="center" wrapText="1"/>
    </xf>
    <xf numFmtId="2" fontId="7" fillId="0" borderId="65" xfId="0" applyNumberFormat="1" applyFont="1" applyBorder="1" applyAlignment="1">
      <alignment horizontal="left" vertical="center" wrapText="1"/>
    </xf>
    <xf numFmtId="0" fontId="12" fillId="0" borderId="38" xfId="5" applyFont="1" applyBorder="1" applyAlignment="1">
      <alignment horizontal="left" vertical="center" wrapText="1"/>
    </xf>
    <xf numFmtId="9" fontId="14" fillId="0" borderId="38" xfId="5" applyNumberFormat="1" applyFont="1" applyBorder="1" applyAlignment="1">
      <alignment horizontal="left" vertical="center" wrapText="1" shrinkToFit="1"/>
    </xf>
    <xf numFmtId="0" fontId="16" fillId="0" borderId="38" xfId="0" applyFont="1" applyBorder="1" applyAlignment="1">
      <alignment horizontal="left" vertical="center" wrapText="1"/>
    </xf>
    <xf numFmtId="0" fontId="12" fillId="0" borderId="64" xfId="5" applyFont="1" applyBorder="1" applyAlignment="1">
      <alignment horizontal="left" vertical="center" wrapText="1"/>
    </xf>
    <xf numFmtId="9" fontId="14" fillId="0" borderId="64" xfId="5" applyNumberFormat="1" applyFont="1" applyBorder="1" applyAlignment="1">
      <alignment horizontal="left" vertical="center" wrapText="1" shrinkToFit="1"/>
    </xf>
    <xf numFmtId="0" fontId="16" fillId="0" borderId="64" xfId="0" applyFont="1" applyBorder="1" applyAlignment="1">
      <alignment horizontal="left" vertical="center" wrapText="1"/>
    </xf>
    <xf numFmtId="0" fontId="12" fillId="0" borderId="65" xfId="5" applyFont="1" applyBorder="1" applyAlignment="1">
      <alignment horizontal="left" vertical="center" wrapText="1"/>
    </xf>
    <xf numFmtId="9" fontId="14" fillId="0" borderId="65" xfId="5" applyNumberFormat="1" applyFont="1" applyBorder="1" applyAlignment="1">
      <alignment horizontal="left" vertical="center" wrapText="1" shrinkToFit="1"/>
    </xf>
    <xf numFmtId="0" fontId="16" fillId="0" borderId="65" xfId="0" applyFont="1" applyBorder="1" applyAlignment="1">
      <alignment horizontal="left" vertical="center" wrapText="1"/>
    </xf>
    <xf numFmtId="0" fontId="13" fillId="0" borderId="38" xfId="5" applyFont="1" applyBorder="1" applyAlignment="1">
      <alignment horizontal="left" vertical="center" wrapText="1"/>
    </xf>
    <xf numFmtId="0" fontId="12" fillId="0" borderId="60" xfId="5" applyFont="1" applyBorder="1" applyAlignment="1">
      <alignment horizontal="left" vertical="center" wrapText="1"/>
    </xf>
    <xf numFmtId="9" fontId="14" fillId="0" borderId="60" xfId="5" applyNumberFormat="1" applyFont="1" applyBorder="1" applyAlignment="1">
      <alignment horizontal="left" vertical="center" wrapText="1" shrinkToFit="1"/>
    </xf>
    <xf numFmtId="0" fontId="16" fillId="0" borderId="60" xfId="0" applyFont="1" applyBorder="1" applyAlignment="1">
      <alignment horizontal="left" vertical="center" wrapText="1"/>
    </xf>
    <xf numFmtId="0" fontId="17" fillId="4" borderId="77" xfId="0" applyFont="1" applyFill="1" applyBorder="1" applyAlignment="1">
      <alignment horizontal="left" vertical="center" wrapText="1"/>
    </xf>
    <xf numFmtId="0" fontId="17" fillId="4" borderId="78" xfId="0" applyFont="1" applyFill="1" applyBorder="1" applyAlignment="1">
      <alignment horizontal="left" vertical="center" wrapText="1"/>
    </xf>
    <xf numFmtId="0" fontId="17" fillId="4" borderId="79" xfId="0" applyFont="1" applyFill="1" applyBorder="1" applyAlignment="1">
      <alignment horizontal="left" vertical="center" wrapText="1"/>
    </xf>
    <xf numFmtId="0" fontId="6" fillId="0" borderId="38" xfId="0" applyFont="1" applyBorder="1" applyAlignment="1">
      <alignment horizontal="left" vertical="center" wrapText="1"/>
    </xf>
    <xf numFmtId="9" fontId="4" fillId="0" borderId="38" xfId="0" applyNumberFormat="1" applyFont="1" applyBorder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0" fontId="6" fillId="0" borderId="64" xfId="0" applyFont="1" applyBorder="1" applyAlignment="1">
      <alignment horizontal="left" vertical="center" wrapText="1"/>
    </xf>
    <xf numFmtId="9" fontId="4" fillId="0" borderId="64" xfId="0" applyNumberFormat="1" applyFont="1" applyBorder="1" applyAlignment="1">
      <alignment horizontal="left" vertical="center" wrapText="1"/>
    </xf>
    <xf numFmtId="0" fontId="4" fillId="0" borderId="64" xfId="0" applyFont="1" applyBorder="1" applyAlignment="1">
      <alignment horizontal="left" vertical="center" wrapText="1"/>
    </xf>
    <xf numFmtId="2" fontId="4" fillId="0" borderId="64" xfId="0" applyNumberFormat="1" applyFont="1" applyBorder="1" applyAlignment="1">
      <alignment horizontal="left" vertical="center" wrapText="1"/>
    </xf>
    <xf numFmtId="0" fontId="4" fillId="0" borderId="65" xfId="0" applyFont="1" applyBorder="1" applyAlignment="1">
      <alignment horizontal="left" vertical="center" wrapText="1"/>
    </xf>
    <xf numFmtId="9" fontId="4" fillId="0" borderId="65" xfId="0" applyNumberFormat="1" applyFont="1" applyBorder="1" applyAlignment="1">
      <alignment horizontal="left" vertical="center" wrapText="1"/>
    </xf>
    <xf numFmtId="2" fontId="4" fillId="0" borderId="65" xfId="0" applyNumberFormat="1" applyFont="1" applyBorder="1" applyAlignment="1">
      <alignment horizontal="left" vertical="center" wrapText="1"/>
    </xf>
    <xf numFmtId="0" fontId="4" fillId="0" borderId="60" xfId="0" applyFont="1" applyBorder="1" applyAlignment="1">
      <alignment horizontal="left" vertical="center" wrapText="1"/>
    </xf>
    <xf numFmtId="9" fontId="4" fillId="0" borderId="60" xfId="0" applyNumberFormat="1" applyFont="1" applyBorder="1" applyAlignment="1">
      <alignment horizontal="left" vertical="center" wrapText="1"/>
    </xf>
    <xf numFmtId="2" fontId="4" fillId="0" borderId="60" xfId="0" applyNumberFormat="1" applyFont="1" applyBorder="1" applyAlignment="1">
      <alignment horizontal="left" vertical="center" wrapText="1"/>
    </xf>
    <xf numFmtId="164" fontId="4" fillId="0" borderId="38" xfId="0" applyNumberFormat="1" applyFont="1" applyBorder="1" applyAlignment="1">
      <alignment horizontal="left" vertical="center" wrapText="1"/>
    </xf>
    <xf numFmtId="9" fontId="6" fillId="0" borderId="38" xfId="0" applyNumberFormat="1" applyFont="1" applyBorder="1" applyAlignment="1">
      <alignment horizontal="left" vertical="center" wrapText="1"/>
    </xf>
    <xf numFmtId="2" fontId="6" fillId="0" borderId="38" xfId="0" applyNumberFormat="1" applyFont="1" applyBorder="1" applyAlignment="1">
      <alignment horizontal="left" vertical="center" wrapText="1"/>
    </xf>
    <xf numFmtId="9" fontId="6" fillId="0" borderId="64" xfId="0" applyNumberFormat="1" applyFont="1" applyBorder="1" applyAlignment="1">
      <alignment horizontal="left" vertical="center" wrapText="1"/>
    </xf>
    <xf numFmtId="2" fontId="6" fillId="0" borderId="64" xfId="0" applyNumberFormat="1" applyFont="1" applyBorder="1" applyAlignment="1">
      <alignment horizontal="left" vertical="center" wrapText="1"/>
    </xf>
    <xf numFmtId="164" fontId="4" fillId="0" borderId="60" xfId="0" applyNumberFormat="1" applyFont="1" applyBorder="1" applyAlignment="1">
      <alignment horizontal="left" vertical="center" wrapText="1"/>
    </xf>
    <xf numFmtId="0" fontId="6" fillId="0" borderId="60" xfId="0" applyFont="1" applyBorder="1" applyAlignment="1">
      <alignment horizontal="left" vertical="center" wrapText="1"/>
    </xf>
    <xf numFmtId="9" fontId="6" fillId="0" borderId="60" xfId="0" applyNumberFormat="1" applyFont="1" applyBorder="1" applyAlignment="1">
      <alignment horizontal="left" vertical="center" wrapText="1"/>
    </xf>
    <xf numFmtId="2" fontId="6" fillId="0" borderId="60" xfId="0" applyNumberFormat="1" applyFont="1" applyBorder="1" applyAlignment="1">
      <alignment horizontal="left" vertical="center" wrapText="1"/>
    </xf>
    <xf numFmtId="2" fontId="7" fillId="0" borderId="64" xfId="0" applyNumberFormat="1" applyFont="1" applyBorder="1" applyAlignment="1">
      <alignment horizontal="center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60" xfId="0" applyNumberFormat="1" applyFont="1" applyBorder="1" applyAlignment="1">
      <alignment horizontal="center" vertical="center" wrapText="1"/>
    </xf>
    <xf numFmtId="0" fontId="15" fillId="0" borderId="71" xfId="5" applyFont="1" applyBorder="1" applyAlignment="1">
      <alignment horizontal="left" vertical="center" wrapText="1"/>
    </xf>
    <xf numFmtId="0" fontId="15" fillId="0" borderId="72" xfId="5" applyFont="1" applyBorder="1" applyAlignment="1">
      <alignment horizontal="left" vertical="center" wrapText="1"/>
    </xf>
    <xf numFmtId="0" fontId="15" fillId="0" borderId="74" xfId="5" applyFont="1" applyBorder="1" applyAlignment="1">
      <alignment horizontal="left" vertical="center" wrapText="1"/>
    </xf>
    <xf numFmtId="0" fontId="15" fillId="0" borderId="69" xfId="5" applyFont="1" applyBorder="1" applyAlignment="1">
      <alignment horizontal="left" vertical="center" wrapText="1"/>
    </xf>
    <xf numFmtId="0" fontId="15" fillId="0" borderId="56" xfId="5" applyFont="1" applyBorder="1" applyAlignment="1">
      <alignment horizontal="left" vertical="center" wrapText="1"/>
    </xf>
    <xf numFmtId="0" fontId="15" fillId="0" borderId="75" xfId="5" applyFont="1" applyBorder="1" applyAlignment="1">
      <alignment horizontal="left" vertical="center" wrapText="1"/>
    </xf>
    <xf numFmtId="1" fontId="7" fillId="0" borderId="64" xfId="5" applyNumberFormat="1" applyFont="1" applyBorder="1" applyAlignment="1">
      <alignment horizontal="center" vertical="center" wrapText="1" shrinkToFit="1"/>
    </xf>
    <xf numFmtId="1" fontId="7" fillId="0" borderId="38" xfId="5" applyNumberFormat="1" applyFont="1" applyBorder="1" applyAlignment="1">
      <alignment horizontal="center" vertical="center" wrapText="1" shrinkToFit="1"/>
    </xf>
    <xf numFmtId="1" fontId="7" fillId="0" borderId="60" xfId="5" applyNumberFormat="1" applyFont="1" applyBorder="1" applyAlignment="1">
      <alignment horizontal="center" vertical="center" wrapText="1" shrinkToFit="1"/>
    </xf>
    <xf numFmtId="9" fontId="7" fillId="0" borderId="64" xfId="5" applyNumberFormat="1" applyFont="1" applyBorder="1" applyAlignment="1">
      <alignment horizontal="center" vertical="center" wrapText="1" shrinkToFit="1"/>
    </xf>
    <xf numFmtId="9" fontId="7" fillId="0" borderId="38" xfId="5" applyNumberFormat="1" applyFont="1" applyBorder="1" applyAlignment="1">
      <alignment horizontal="center" vertical="center" wrapText="1" shrinkToFit="1"/>
    </xf>
    <xf numFmtId="9" fontId="7" fillId="0" borderId="60" xfId="5" applyNumberFormat="1" applyFont="1" applyBorder="1" applyAlignment="1">
      <alignment horizontal="center" vertical="center" wrapText="1" shrinkToFit="1"/>
    </xf>
    <xf numFmtId="2" fontId="7" fillId="0" borderId="65" xfId="0" applyNumberFormat="1" applyFont="1" applyBorder="1" applyAlignment="1">
      <alignment horizontal="center" vertical="center" wrapText="1"/>
    </xf>
    <xf numFmtId="0" fontId="3" fillId="2" borderId="61" xfId="0" applyFont="1" applyFill="1" applyBorder="1" applyAlignment="1">
      <alignment horizontal="left" vertical="center"/>
    </xf>
    <xf numFmtId="0" fontId="3" fillId="2" borderId="62" xfId="0" applyFont="1" applyFill="1" applyBorder="1" applyAlignment="1">
      <alignment horizontal="left" vertical="center"/>
    </xf>
    <xf numFmtId="0" fontId="3" fillId="2" borderId="63" xfId="0" applyFont="1" applyFill="1" applyBorder="1" applyAlignment="1">
      <alignment horizontal="left" vertical="center"/>
    </xf>
    <xf numFmtId="0" fontId="15" fillId="0" borderId="73" xfId="5" applyFont="1" applyBorder="1" applyAlignment="1">
      <alignment horizontal="left" vertical="center" wrapText="1"/>
    </xf>
    <xf numFmtId="0" fontId="15" fillId="0" borderId="70" xfId="5" applyFont="1" applyBorder="1" applyAlignment="1">
      <alignment horizontal="left" vertical="center" wrapText="1"/>
    </xf>
    <xf numFmtId="1" fontId="7" fillId="0" borderId="65" xfId="5" applyNumberFormat="1" applyFont="1" applyBorder="1" applyAlignment="1">
      <alignment horizontal="center" vertical="center" wrapText="1" shrinkToFit="1"/>
    </xf>
    <xf numFmtId="9" fontId="7" fillId="0" borderId="65" xfId="5" applyNumberFormat="1" applyFont="1" applyBorder="1" applyAlignment="1">
      <alignment horizontal="center" vertical="center" wrapText="1" shrinkToFit="1"/>
    </xf>
    <xf numFmtId="2" fontId="7" fillId="0" borderId="66" xfId="0" applyNumberFormat="1" applyFont="1" applyBorder="1" applyAlignment="1">
      <alignment horizontal="center" vertical="center" wrapText="1"/>
    </xf>
    <xf numFmtId="2" fontId="7" fillId="0" borderId="76" xfId="0" applyNumberFormat="1" applyFont="1" applyBorder="1" applyAlignment="1">
      <alignment horizontal="center" vertical="center" wrapText="1"/>
    </xf>
    <xf numFmtId="2" fontId="7" fillId="0" borderId="67" xfId="0" applyNumberFormat="1" applyFont="1" applyBorder="1" applyAlignment="1">
      <alignment horizontal="center" vertical="center" wrapText="1"/>
    </xf>
    <xf numFmtId="2" fontId="7" fillId="0" borderId="68" xfId="0" applyNumberFormat="1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center" vertical="center" wrapText="1"/>
    </xf>
    <xf numFmtId="2" fontId="4" fillId="0" borderId="38" xfId="0" applyNumberFormat="1" applyFont="1" applyBorder="1" applyAlignment="1">
      <alignment horizontal="center" vertical="center" wrapText="1"/>
    </xf>
    <xf numFmtId="2" fontId="4" fillId="0" borderId="60" xfId="0" applyNumberFormat="1" applyFont="1" applyBorder="1" applyAlignment="1">
      <alignment horizontal="center" vertical="center" wrapText="1"/>
    </xf>
    <xf numFmtId="0" fontId="4" fillId="0" borderId="69" xfId="0" applyFont="1" applyBorder="1" applyAlignment="1">
      <alignment horizontal="left" vertical="center" wrapText="1"/>
    </xf>
    <xf numFmtId="0" fontId="5" fillId="0" borderId="56" xfId="0" applyFont="1" applyBorder="1" applyAlignment="1">
      <alignment horizontal="left" vertical="center" wrapText="1"/>
    </xf>
    <xf numFmtId="0" fontId="5" fillId="0" borderId="75" xfId="0" applyFont="1" applyBorder="1" applyAlignment="1">
      <alignment horizontal="left" vertical="center" wrapText="1"/>
    </xf>
    <xf numFmtId="0" fontId="4" fillId="0" borderId="64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2" fontId="4" fillId="0" borderId="60" xfId="0" applyNumberFormat="1" applyFont="1" applyBorder="1" applyAlignment="1">
      <alignment horizontal="left" vertical="center" wrapText="1"/>
    </xf>
    <xf numFmtId="9" fontId="4" fillId="0" borderId="64" xfId="0" applyNumberFormat="1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center" vertical="center" wrapText="1"/>
    </xf>
    <xf numFmtId="9" fontId="4" fillId="0" borderId="60" xfId="0" applyNumberFormat="1" applyFont="1" applyBorder="1" applyAlignment="1">
      <alignment horizontal="center" vertical="center" wrapText="1"/>
    </xf>
    <xf numFmtId="2" fontId="4" fillId="0" borderId="65" xfId="0" applyNumberFormat="1" applyFont="1" applyBorder="1" applyAlignment="1">
      <alignment horizontal="center" vertical="center" wrapText="1"/>
    </xf>
    <xf numFmtId="0" fontId="5" fillId="0" borderId="70" xfId="0" applyFont="1" applyBorder="1" applyAlignment="1">
      <alignment horizontal="left" vertical="center" wrapText="1"/>
    </xf>
    <xf numFmtId="0" fontId="5" fillId="0" borderId="65" xfId="0" applyFont="1" applyBorder="1" applyAlignment="1">
      <alignment horizontal="center" vertical="center" wrapText="1"/>
    </xf>
    <xf numFmtId="0" fontId="4" fillId="0" borderId="71" xfId="0" applyFont="1" applyBorder="1" applyAlignment="1">
      <alignment horizontal="left" vertical="center" wrapText="1"/>
    </xf>
    <xf numFmtId="0" fontId="5" fillId="0" borderId="72" xfId="0" applyFont="1" applyBorder="1" applyAlignment="1">
      <alignment horizontal="left" vertical="center" wrapText="1"/>
    </xf>
    <xf numFmtId="0" fontId="5" fillId="0" borderId="74" xfId="0" applyFont="1" applyBorder="1" applyAlignment="1">
      <alignment horizontal="left" vertical="center" wrapText="1"/>
    </xf>
    <xf numFmtId="0" fontId="4" fillId="0" borderId="72" xfId="0" applyFont="1" applyBorder="1" applyAlignment="1">
      <alignment horizontal="left" vertical="center" wrapText="1"/>
    </xf>
    <xf numFmtId="0" fontId="4" fillId="0" borderId="74" xfId="0" applyFont="1" applyBorder="1" applyAlignment="1">
      <alignment horizontal="left" vertical="center" wrapText="1"/>
    </xf>
    <xf numFmtId="0" fontId="5" fillId="0" borderId="73" xfId="0" applyFont="1" applyBorder="1" applyAlignment="1">
      <alignment horizontal="left" vertical="center" wrapText="1"/>
    </xf>
    <xf numFmtId="0" fontId="4" fillId="0" borderId="56" xfId="0" applyFont="1" applyBorder="1" applyAlignment="1">
      <alignment horizontal="left" vertical="center" wrapText="1"/>
    </xf>
    <xf numFmtId="0" fontId="4" fillId="0" borderId="75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42" xfId="0" applyFont="1" applyBorder="1" applyAlignment="1">
      <alignment vertical="center" wrapText="1"/>
    </xf>
    <xf numFmtId="0" fontId="4" fillId="0" borderId="50" xfId="0" applyFont="1" applyBorder="1" applyAlignment="1">
      <alignment vertical="center" wrapText="1"/>
    </xf>
    <xf numFmtId="0" fontId="4" fillId="0" borderId="43" xfId="0" applyFont="1" applyBorder="1" applyAlignment="1">
      <alignment vertical="center" wrapText="1"/>
    </xf>
    <xf numFmtId="0" fontId="4" fillId="0" borderId="36" xfId="0" applyFont="1" applyBorder="1" applyAlignment="1">
      <alignment vertical="center" wrapText="1"/>
    </xf>
    <xf numFmtId="0" fontId="4" fillId="0" borderId="44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9" fontId="4" fillId="0" borderId="44" xfId="0" applyNumberFormat="1" applyFont="1" applyBorder="1" applyAlignment="1">
      <alignment horizontal="center" vertical="center"/>
    </xf>
    <xf numFmtId="2" fontId="4" fillId="0" borderId="44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2" fontId="4" fillId="0" borderId="4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0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2" fontId="4" fillId="0" borderId="2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2" fontId="4" fillId="0" borderId="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20" xfId="0" applyFont="1" applyBorder="1" applyAlignment="1">
      <alignment vertical="center" wrapText="1"/>
    </xf>
    <xf numFmtId="0" fontId="4" fillId="0" borderId="21" xfId="0" applyFont="1" applyBorder="1" applyAlignment="1">
      <alignment vertical="center" wrapText="1"/>
    </xf>
    <xf numFmtId="0" fontId="4" fillId="0" borderId="22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9" fontId="4" fillId="0" borderId="2" xfId="0" applyNumberFormat="1" applyFont="1" applyBorder="1" applyAlignment="1">
      <alignment horizontal="center" vertical="center"/>
    </xf>
    <xf numFmtId="0" fontId="3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23" xfId="0" applyFont="1" applyFill="1" applyBorder="1" applyAlignment="1">
      <alignment vertical="center"/>
    </xf>
    <xf numFmtId="0" fontId="3" fillId="2" borderId="24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2" fontId="4" fillId="0" borderId="17" xfId="0" applyNumberFormat="1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2" fontId="4" fillId="0" borderId="47" xfId="0" applyNumberFormat="1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5" fillId="0" borderId="51" xfId="0" applyFont="1" applyBorder="1" applyAlignment="1">
      <alignment vertical="center"/>
    </xf>
    <xf numFmtId="0" fontId="17" fillId="4" borderId="78" xfId="0" applyFont="1" applyFill="1" applyBorder="1" applyAlignment="1">
      <alignment horizontal="left" vertical="center" wrapText="1"/>
    </xf>
    <xf numFmtId="2" fontId="16" fillId="0" borderId="66" xfId="0" applyNumberFormat="1" applyFont="1" applyBorder="1" applyAlignment="1">
      <alignment horizontal="center" vertical="center" wrapText="1"/>
    </xf>
    <xf numFmtId="2" fontId="16" fillId="0" borderId="67" xfId="0" applyNumberFormat="1" applyFont="1" applyBorder="1" applyAlignment="1">
      <alignment horizontal="center" vertical="center" wrapText="1"/>
    </xf>
    <xf numFmtId="2" fontId="16" fillId="0" borderId="76" xfId="0" applyNumberFormat="1" applyFont="1" applyBorder="1" applyAlignment="1">
      <alignment horizontal="center" vertical="center" wrapText="1"/>
    </xf>
    <xf numFmtId="2" fontId="16" fillId="0" borderId="64" xfId="0" applyNumberFormat="1" applyFont="1" applyBorder="1" applyAlignment="1">
      <alignment horizontal="center" vertical="center" wrapText="1"/>
    </xf>
    <xf numFmtId="2" fontId="16" fillId="0" borderId="65" xfId="0" applyNumberFormat="1" applyFont="1" applyBorder="1" applyAlignment="1">
      <alignment horizontal="center" vertical="center" wrapText="1"/>
    </xf>
    <xf numFmtId="2" fontId="16" fillId="0" borderId="68" xfId="0" applyNumberFormat="1" applyFont="1" applyBorder="1" applyAlignment="1">
      <alignment horizontal="center" vertical="center" wrapText="1"/>
    </xf>
    <xf numFmtId="2" fontId="16" fillId="0" borderId="38" xfId="0" applyNumberFormat="1" applyFont="1" applyBorder="1" applyAlignment="1">
      <alignment horizontal="center" vertical="center" wrapText="1"/>
    </xf>
    <xf numFmtId="2" fontId="16" fillId="0" borderId="60" xfId="0" applyNumberFormat="1" applyFont="1" applyBorder="1" applyAlignment="1">
      <alignment horizontal="center" vertical="center" wrapText="1"/>
    </xf>
    <xf numFmtId="0" fontId="12" fillId="0" borderId="71" xfId="5" applyFont="1" applyBorder="1" applyAlignment="1">
      <alignment horizontal="left" vertical="center" wrapText="1"/>
    </xf>
    <xf numFmtId="0" fontId="12" fillId="0" borderId="73" xfId="5" applyFont="1" applyBorder="1" applyAlignment="1">
      <alignment horizontal="left" vertical="center" wrapText="1"/>
    </xf>
    <xf numFmtId="0" fontId="12" fillId="0" borderId="69" xfId="5" applyFont="1" applyBorder="1" applyAlignment="1">
      <alignment horizontal="left" vertical="center" wrapText="1"/>
    </xf>
    <xf numFmtId="0" fontId="12" fillId="0" borderId="70" xfId="5" applyFont="1" applyBorder="1" applyAlignment="1">
      <alignment horizontal="left" vertical="center" wrapText="1"/>
    </xf>
    <xf numFmtId="1" fontId="14" fillId="0" borderId="64" xfId="5" applyNumberFormat="1" applyFont="1" applyBorder="1" applyAlignment="1">
      <alignment horizontal="center" vertical="center" wrapText="1" shrinkToFit="1"/>
    </xf>
    <xf numFmtId="1" fontId="14" fillId="0" borderId="65" xfId="5" applyNumberFormat="1" applyFont="1" applyBorder="1" applyAlignment="1">
      <alignment horizontal="center" vertical="center" wrapText="1" shrinkToFit="1"/>
    </xf>
    <xf numFmtId="9" fontId="14" fillId="0" borderId="64" xfId="5" applyNumberFormat="1" applyFont="1" applyBorder="1" applyAlignment="1">
      <alignment horizontal="center" vertical="center" wrapText="1" shrinkToFit="1"/>
    </xf>
    <xf numFmtId="9" fontId="14" fillId="0" borderId="65" xfId="5" applyNumberFormat="1" applyFont="1" applyBorder="1" applyAlignment="1">
      <alignment horizontal="center" vertical="center" wrapText="1" shrinkToFit="1"/>
    </xf>
    <xf numFmtId="0" fontId="12" fillId="0" borderId="72" xfId="5" applyFont="1" applyBorder="1" applyAlignment="1">
      <alignment horizontal="left" vertical="center" wrapText="1"/>
    </xf>
    <xf numFmtId="0" fontId="12" fillId="0" borderId="74" xfId="5" applyFont="1" applyBorder="1" applyAlignment="1">
      <alignment horizontal="left" vertical="center" wrapText="1"/>
    </xf>
    <xf numFmtId="0" fontId="12" fillId="0" borderId="56" xfId="5" applyFont="1" applyBorder="1" applyAlignment="1">
      <alignment horizontal="left" vertical="center" wrapText="1"/>
    </xf>
    <xf numFmtId="0" fontId="12" fillId="0" borderId="75" xfId="5" applyFont="1" applyBorder="1" applyAlignment="1">
      <alignment horizontal="left" vertical="center" wrapText="1"/>
    </xf>
    <xf numFmtId="1" fontId="14" fillId="0" borderId="38" xfId="5" applyNumberFormat="1" applyFont="1" applyBorder="1" applyAlignment="1">
      <alignment horizontal="center" vertical="center" wrapText="1" shrinkToFit="1"/>
    </xf>
    <xf numFmtId="1" fontId="14" fillId="0" borderId="60" xfId="5" applyNumberFormat="1" applyFont="1" applyBorder="1" applyAlignment="1">
      <alignment horizontal="center" vertical="center" wrapText="1" shrinkToFit="1"/>
    </xf>
    <xf numFmtId="9" fontId="14" fillId="0" borderId="38" xfId="5" applyNumberFormat="1" applyFont="1" applyBorder="1" applyAlignment="1">
      <alignment horizontal="center" vertical="center" wrapText="1" shrinkToFit="1"/>
    </xf>
    <xf numFmtId="9" fontId="14" fillId="0" borderId="60" xfId="5" applyNumberFormat="1" applyFont="1" applyBorder="1" applyAlignment="1">
      <alignment horizontal="center" vertical="center" wrapText="1" shrinkToFit="1"/>
    </xf>
    <xf numFmtId="2" fontId="6" fillId="0" borderId="64" xfId="0" applyNumberFormat="1" applyFont="1" applyBorder="1" applyAlignment="1">
      <alignment horizontal="center" vertical="center" wrapText="1"/>
    </xf>
    <xf numFmtId="2" fontId="6" fillId="0" borderId="38" xfId="0" applyNumberFormat="1" applyFont="1" applyBorder="1" applyAlignment="1">
      <alignment horizontal="center" vertical="center" wrapText="1"/>
    </xf>
    <xf numFmtId="2" fontId="6" fillId="0" borderId="60" xfId="0" applyNumberFormat="1" applyFont="1" applyBorder="1" applyAlignment="1">
      <alignment horizontal="center" vertical="center" wrapText="1"/>
    </xf>
    <xf numFmtId="0" fontId="6" fillId="0" borderId="69" xfId="0" applyFont="1" applyBorder="1" applyAlignment="1">
      <alignment horizontal="left" vertical="center" wrapText="1"/>
    </xf>
    <xf numFmtId="0" fontId="6" fillId="0" borderId="64" xfId="0" applyFont="1" applyBorder="1" applyAlignment="1">
      <alignment horizontal="center" vertical="center" wrapText="1"/>
    </xf>
    <xf numFmtId="2" fontId="6" fillId="0" borderId="64" xfId="0" applyNumberFormat="1" applyFont="1" applyBorder="1" applyAlignment="1">
      <alignment horizontal="left" vertical="center" wrapText="1"/>
    </xf>
    <xf numFmtId="2" fontId="6" fillId="0" borderId="60" xfId="0" applyNumberFormat="1" applyFont="1" applyBorder="1" applyAlignment="1">
      <alignment horizontal="left" vertical="center" wrapText="1"/>
    </xf>
    <xf numFmtId="2" fontId="6" fillId="0" borderId="38" xfId="0" applyNumberFormat="1" applyFont="1" applyBorder="1" applyAlignment="1">
      <alignment horizontal="left" vertical="center" wrapText="1"/>
    </xf>
    <xf numFmtId="9" fontId="6" fillId="0" borderId="64" xfId="0" applyNumberFormat="1" applyFont="1" applyBorder="1" applyAlignment="1">
      <alignment horizontal="center" vertical="center" wrapText="1"/>
    </xf>
    <xf numFmtId="2" fontId="4" fillId="0" borderId="65" xfId="0" applyNumberFormat="1" applyFont="1" applyBorder="1" applyAlignment="1">
      <alignment horizontal="left" vertical="center" wrapText="1"/>
    </xf>
    <xf numFmtId="0" fontId="6" fillId="0" borderId="71" xfId="0" applyFont="1" applyBorder="1" applyAlignment="1">
      <alignment horizontal="left" vertical="center" wrapText="1"/>
    </xf>
    <xf numFmtId="0" fontId="3" fillId="2" borderId="34" xfId="0" applyFont="1" applyFill="1" applyBorder="1" applyAlignment="1">
      <alignment vertical="center"/>
    </xf>
    <xf numFmtId="0" fontId="3" fillId="2" borderId="52" xfId="0" applyFont="1" applyFill="1" applyBorder="1" applyAlignment="1">
      <alignment vertical="center"/>
    </xf>
    <xf numFmtId="0" fontId="3" fillId="2" borderId="54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0" fontId="12" fillId="0" borderId="38" xfId="0" applyFont="1" applyFill="1" applyBorder="1" applyAlignment="1">
      <alignment horizontal="left" vertical="center" wrapText="1"/>
    </xf>
    <xf numFmtId="9" fontId="14" fillId="0" borderId="38" xfId="0" applyNumberFormat="1" applyFont="1" applyFill="1" applyBorder="1" applyAlignment="1">
      <alignment horizontal="left" vertical="center" wrapText="1" shrinkToFit="1"/>
    </xf>
    <xf numFmtId="0" fontId="12" fillId="0" borderId="64" xfId="0" applyFont="1" applyFill="1" applyBorder="1" applyAlignment="1">
      <alignment horizontal="left" vertical="center" wrapText="1"/>
    </xf>
    <xf numFmtId="9" fontId="14" fillId="0" borderId="64" xfId="0" applyNumberFormat="1" applyFont="1" applyFill="1" applyBorder="1" applyAlignment="1">
      <alignment horizontal="left" vertical="center" wrapText="1" shrinkToFit="1"/>
    </xf>
    <xf numFmtId="1" fontId="14" fillId="0" borderId="38" xfId="0" applyNumberFormat="1" applyFont="1" applyFill="1" applyBorder="1" applyAlignment="1">
      <alignment horizontal="center" vertical="center" wrapText="1" shrinkToFit="1"/>
    </xf>
    <xf numFmtId="9" fontId="14" fillId="0" borderId="38" xfId="0" applyNumberFormat="1" applyFont="1" applyFill="1" applyBorder="1" applyAlignment="1">
      <alignment horizontal="center" vertical="center" wrapText="1" shrinkToFit="1"/>
    </xf>
    <xf numFmtId="2" fontId="7" fillId="0" borderId="38" xfId="0" applyNumberFormat="1" applyFont="1" applyFill="1" applyBorder="1" applyAlignment="1">
      <alignment horizontal="center" vertical="center" wrapText="1"/>
    </xf>
    <xf numFmtId="2" fontId="7" fillId="0" borderId="38" xfId="0" applyNumberFormat="1" applyFont="1" applyFill="1" applyBorder="1" applyAlignment="1">
      <alignment horizontal="left" vertical="center" wrapText="1"/>
    </xf>
    <xf numFmtId="1" fontId="14" fillId="0" borderId="64" xfId="0" applyNumberFormat="1" applyFont="1" applyFill="1" applyBorder="1" applyAlignment="1">
      <alignment horizontal="center" vertical="center" wrapText="1" shrinkToFit="1"/>
    </xf>
    <xf numFmtId="9" fontId="14" fillId="0" borderId="64" xfId="0" applyNumberFormat="1" applyFont="1" applyFill="1" applyBorder="1" applyAlignment="1">
      <alignment horizontal="center" vertical="center" wrapText="1" shrinkToFit="1"/>
    </xf>
    <xf numFmtId="2" fontId="7" fillId="0" borderId="64" xfId="0" applyNumberFormat="1" applyFont="1" applyFill="1" applyBorder="1" applyAlignment="1">
      <alignment horizontal="left" vertical="center" wrapText="1"/>
    </xf>
    <xf numFmtId="2" fontId="7" fillId="0" borderId="64" xfId="0" applyNumberFormat="1" applyFont="1" applyFill="1" applyBorder="1" applyAlignment="1">
      <alignment horizontal="center" vertical="center" wrapText="1"/>
    </xf>
    <xf numFmtId="0" fontId="17" fillId="4" borderId="80" xfId="0" applyFont="1" applyFill="1" applyBorder="1" applyAlignment="1">
      <alignment horizontal="left" vertical="center" wrapText="1"/>
    </xf>
    <xf numFmtId="0" fontId="17" fillId="4" borderId="82" xfId="0" applyFont="1" applyFill="1" applyBorder="1" applyAlignment="1">
      <alignment horizontal="left" vertical="center" wrapText="1"/>
    </xf>
    <xf numFmtId="0" fontId="17" fillId="4" borderId="82" xfId="0" applyFont="1" applyFill="1" applyBorder="1" applyAlignment="1">
      <alignment horizontal="left" vertical="center" wrapText="1"/>
    </xf>
    <xf numFmtId="0" fontId="17" fillId="4" borderId="83" xfId="0" applyFont="1" applyFill="1" applyBorder="1" applyAlignment="1">
      <alignment horizontal="left" vertical="center" wrapText="1"/>
    </xf>
    <xf numFmtId="2" fontId="7" fillId="0" borderId="65" xfId="0" applyNumberFormat="1" applyFont="1" applyFill="1" applyBorder="1" applyAlignment="1">
      <alignment horizontal="left" vertical="center" wrapText="1"/>
    </xf>
    <xf numFmtId="2" fontId="7" fillId="0" borderId="65" xfId="0" applyNumberFormat="1" applyFont="1" applyFill="1" applyBorder="1" applyAlignment="1">
      <alignment horizontal="center" vertical="center" wrapText="1"/>
    </xf>
    <xf numFmtId="2" fontId="7" fillId="0" borderId="66" xfId="0" applyNumberFormat="1" applyFont="1" applyFill="1" applyBorder="1" applyAlignment="1">
      <alignment horizontal="center" vertical="center" wrapText="1"/>
    </xf>
    <xf numFmtId="2" fontId="7" fillId="0" borderId="67" xfId="0" applyNumberFormat="1" applyFont="1" applyFill="1" applyBorder="1" applyAlignment="1">
      <alignment horizontal="center" vertical="center" wrapText="1"/>
    </xf>
    <xf numFmtId="2" fontId="7" fillId="0" borderId="68" xfId="0" applyNumberFormat="1" applyFont="1" applyFill="1" applyBorder="1" applyAlignment="1">
      <alignment horizontal="center" vertical="center" wrapText="1"/>
    </xf>
    <xf numFmtId="0" fontId="12" fillId="0" borderId="69" xfId="0" applyFont="1" applyFill="1" applyBorder="1" applyAlignment="1">
      <alignment horizontal="left" vertical="center" wrapText="1"/>
    </xf>
    <xf numFmtId="0" fontId="12" fillId="0" borderId="56" xfId="0" applyFont="1" applyFill="1" applyBorder="1" applyAlignment="1">
      <alignment horizontal="left" vertical="center" wrapText="1"/>
    </xf>
    <xf numFmtId="0" fontId="12" fillId="0" borderId="71" xfId="0" applyFont="1" applyFill="1" applyBorder="1" applyAlignment="1">
      <alignment horizontal="left" vertical="center" wrapText="1"/>
    </xf>
    <xf numFmtId="0" fontId="12" fillId="0" borderId="72" xfId="0" applyFont="1" applyFill="1" applyBorder="1" applyAlignment="1">
      <alignment horizontal="left" vertical="center" wrapText="1"/>
    </xf>
    <xf numFmtId="0" fontId="12" fillId="0" borderId="74" xfId="0" applyFont="1" applyFill="1" applyBorder="1" applyAlignment="1">
      <alignment horizontal="left" vertical="center" wrapText="1"/>
    </xf>
    <xf numFmtId="0" fontId="12" fillId="0" borderId="75" xfId="0" applyFont="1" applyFill="1" applyBorder="1" applyAlignment="1">
      <alignment horizontal="left" vertical="center" wrapText="1"/>
    </xf>
    <xf numFmtId="1" fontId="14" fillId="0" borderId="60" xfId="0" applyNumberFormat="1" applyFont="1" applyFill="1" applyBorder="1" applyAlignment="1">
      <alignment horizontal="center" vertical="center" wrapText="1" shrinkToFit="1"/>
    </xf>
    <xf numFmtId="9" fontId="14" fillId="0" borderId="60" xfId="0" applyNumberFormat="1" applyFont="1" applyFill="1" applyBorder="1" applyAlignment="1">
      <alignment horizontal="center" vertical="center" wrapText="1" shrinkToFit="1"/>
    </xf>
    <xf numFmtId="0" fontId="12" fillId="0" borderId="60" xfId="0" applyFont="1" applyFill="1" applyBorder="1" applyAlignment="1">
      <alignment horizontal="left" vertical="center" wrapText="1"/>
    </xf>
    <xf numFmtId="9" fontId="14" fillId="0" borderId="60" xfId="0" applyNumberFormat="1" applyFont="1" applyFill="1" applyBorder="1" applyAlignment="1">
      <alignment horizontal="left" vertical="center" wrapText="1" shrinkToFit="1"/>
    </xf>
    <xf numFmtId="2" fontId="7" fillId="0" borderId="60" xfId="0" applyNumberFormat="1" applyFont="1" applyFill="1" applyBorder="1" applyAlignment="1">
      <alignment horizontal="left" vertical="center" wrapText="1"/>
    </xf>
    <xf numFmtId="2" fontId="7" fillId="0" borderId="60" xfId="0" applyNumberFormat="1" applyFont="1" applyFill="1" applyBorder="1" applyAlignment="1">
      <alignment horizontal="center" vertical="center" wrapText="1"/>
    </xf>
    <xf numFmtId="2" fontId="7" fillId="0" borderId="76" xfId="0" applyNumberFormat="1" applyFont="1" applyFill="1" applyBorder="1" applyAlignment="1">
      <alignment horizontal="center" vertical="center" wrapText="1"/>
    </xf>
    <xf numFmtId="9" fontId="14" fillId="0" borderId="64" xfId="1" applyNumberFormat="1" applyFont="1" applyFill="1" applyBorder="1" applyAlignment="1">
      <alignment horizontal="left" vertical="center" wrapText="1" shrinkToFit="1"/>
    </xf>
    <xf numFmtId="9" fontId="14" fillId="0" borderId="38" xfId="1" applyNumberFormat="1" applyFont="1" applyFill="1" applyBorder="1" applyAlignment="1">
      <alignment horizontal="left" vertical="center" wrapText="1" shrinkToFit="1"/>
    </xf>
    <xf numFmtId="9" fontId="14" fillId="0" borderId="60" xfId="1" applyNumberFormat="1" applyFont="1" applyFill="1" applyBorder="1" applyAlignment="1">
      <alignment horizontal="left" vertical="center" wrapText="1" shrinkToFit="1"/>
    </xf>
    <xf numFmtId="1" fontId="14" fillId="0" borderId="78" xfId="0" applyNumberFormat="1" applyFont="1" applyFill="1" applyBorder="1" applyAlignment="1">
      <alignment horizontal="center" vertical="center" wrapText="1" shrinkToFit="1"/>
    </xf>
    <xf numFmtId="9" fontId="14" fillId="0" borderId="78" xfId="0" applyNumberFormat="1" applyFont="1" applyFill="1" applyBorder="1" applyAlignment="1">
      <alignment horizontal="center" vertical="center" wrapText="1" shrinkToFit="1"/>
    </xf>
    <xf numFmtId="0" fontId="18" fillId="0" borderId="78" xfId="0" applyFont="1" applyFill="1" applyBorder="1" applyAlignment="1">
      <alignment horizontal="left" vertical="center" wrapText="1"/>
    </xf>
    <xf numFmtId="9" fontId="18" fillId="0" borderId="78" xfId="0" applyNumberFormat="1" applyFont="1" applyFill="1" applyBorder="1" applyAlignment="1">
      <alignment horizontal="left" vertical="center" wrapText="1"/>
    </xf>
    <xf numFmtId="2" fontId="7" fillId="0" borderId="78" xfId="0" applyNumberFormat="1" applyFont="1" applyFill="1" applyBorder="1" applyAlignment="1">
      <alignment horizontal="left" vertical="center" wrapText="1"/>
    </xf>
    <xf numFmtId="2" fontId="7" fillId="0" borderId="78" xfId="0" applyNumberFormat="1" applyFont="1" applyFill="1" applyBorder="1" applyAlignment="1">
      <alignment horizontal="center" vertical="center" wrapText="1"/>
    </xf>
    <xf numFmtId="2" fontId="7" fillId="0" borderId="79" xfId="0" applyNumberFormat="1" applyFont="1" applyFill="1" applyBorder="1" applyAlignment="1">
      <alignment horizontal="center" vertical="center" wrapText="1"/>
    </xf>
    <xf numFmtId="0" fontId="12" fillId="0" borderId="84" xfId="0" applyFont="1" applyFill="1" applyBorder="1" applyAlignment="1">
      <alignment horizontal="left" vertical="center" wrapText="1"/>
    </xf>
    <xf numFmtId="0" fontId="12" fillId="0" borderId="81" xfId="0" applyFont="1" applyFill="1" applyBorder="1" applyAlignment="1">
      <alignment horizontal="left" vertical="center" wrapText="1"/>
    </xf>
    <xf numFmtId="0" fontId="12" fillId="0" borderId="85" xfId="0" applyFont="1" applyFill="1" applyBorder="1" applyAlignment="1">
      <alignment horizontal="left" vertical="center" wrapText="1"/>
    </xf>
    <xf numFmtId="0" fontId="12" fillId="0" borderId="86" xfId="0" applyFont="1" applyFill="1" applyBorder="1" applyAlignment="1">
      <alignment horizontal="left" vertical="center" wrapText="1"/>
    </xf>
    <xf numFmtId="1" fontId="14" fillId="0" borderId="82" xfId="0" applyNumberFormat="1" applyFont="1" applyFill="1" applyBorder="1" applyAlignment="1">
      <alignment horizontal="center" vertical="center" wrapText="1" shrinkToFit="1"/>
    </xf>
    <xf numFmtId="9" fontId="14" fillId="0" borderId="82" xfId="0" applyNumberFormat="1" applyFont="1" applyFill="1" applyBorder="1" applyAlignment="1">
      <alignment horizontal="center" vertical="center" wrapText="1" shrinkToFit="1"/>
    </xf>
    <xf numFmtId="0" fontId="18" fillId="0" borderId="82" xfId="0" applyFont="1" applyFill="1" applyBorder="1" applyAlignment="1">
      <alignment horizontal="left" vertical="center" wrapText="1"/>
    </xf>
    <xf numFmtId="9" fontId="18" fillId="0" borderId="82" xfId="0" applyNumberFormat="1" applyFont="1" applyFill="1" applyBorder="1" applyAlignment="1">
      <alignment horizontal="left" vertical="center" wrapText="1"/>
    </xf>
    <xf numFmtId="2" fontId="7" fillId="0" borderId="82" xfId="0" applyNumberFormat="1" applyFont="1" applyFill="1" applyBorder="1" applyAlignment="1">
      <alignment horizontal="left" vertical="center" wrapText="1"/>
    </xf>
    <xf numFmtId="2" fontId="7" fillId="0" borderId="82" xfId="0" applyNumberFormat="1" applyFont="1" applyFill="1" applyBorder="1" applyAlignment="1">
      <alignment horizontal="center" vertical="center" wrapText="1"/>
    </xf>
    <xf numFmtId="2" fontId="7" fillId="0" borderId="83" xfId="0" applyNumberFormat="1" applyFont="1" applyFill="1" applyBorder="1" applyAlignment="1">
      <alignment horizontal="center" vertical="center" wrapText="1"/>
    </xf>
    <xf numFmtId="172" fontId="14" fillId="0" borderId="38" xfId="5" applyNumberFormat="1" applyFont="1" applyFill="1" applyBorder="1" applyAlignment="1">
      <alignment horizontal="center" vertical="center" wrapText="1" shrinkToFit="1"/>
    </xf>
    <xf numFmtId="9" fontId="14" fillId="0" borderId="38" xfId="5" applyNumberFormat="1" applyFont="1" applyFill="1" applyBorder="1" applyAlignment="1">
      <alignment horizontal="center" vertical="center" wrapText="1" shrinkToFit="1"/>
    </xf>
    <xf numFmtId="0" fontId="12" fillId="0" borderId="38" xfId="5" applyFont="1" applyFill="1" applyBorder="1" applyAlignment="1">
      <alignment horizontal="left" vertical="center" wrapText="1"/>
    </xf>
    <xf numFmtId="9" fontId="14" fillId="0" borderId="38" xfId="5" applyNumberFormat="1" applyFont="1" applyFill="1" applyBorder="1" applyAlignment="1">
      <alignment horizontal="left" vertical="center" wrapText="1" shrinkToFit="1"/>
    </xf>
    <xf numFmtId="172" fontId="14" fillId="0" borderId="64" xfId="5" applyNumberFormat="1" applyFont="1" applyFill="1" applyBorder="1" applyAlignment="1">
      <alignment horizontal="center" vertical="center" wrapText="1" shrinkToFit="1"/>
    </xf>
    <xf numFmtId="9" fontId="14" fillId="0" borderId="64" xfId="5" applyNumberFormat="1" applyFont="1" applyFill="1" applyBorder="1" applyAlignment="1">
      <alignment horizontal="center" vertical="center" wrapText="1" shrinkToFit="1"/>
    </xf>
    <xf numFmtId="0" fontId="12" fillId="0" borderId="64" xfId="5" applyFont="1" applyFill="1" applyBorder="1" applyAlignment="1">
      <alignment horizontal="left" vertical="center" wrapText="1"/>
    </xf>
    <xf numFmtId="9" fontId="14" fillId="0" borderId="64" xfId="5" applyNumberFormat="1" applyFont="1" applyFill="1" applyBorder="1" applyAlignment="1">
      <alignment horizontal="left" vertical="center" wrapText="1" shrinkToFit="1"/>
    </xf>
    <xf numFmtId="9" fontId="14" fillId="0" borderId="65" xfId="5" applyNumberFormat="1" applyFont="1" applyFill="1" applyBorder="1" applyAlignment="1">
      <alignment horizontal="center" vertical="center" wrapText="1" shrinkToFit="1"/>
    </xf>
    <xf numFmtId="0" fontId="12" fillId="0" borderId="65" xfId="5" applyFont="1" applyFill="1" applyBorder="1" applyAlignment="1">
      <alignment horizontal="left" vertical="center" wrapText="1"/>
    </xf>
    <xf numFmtId="9" fontId="14" fillId="0" borderId="65" xfId="5" applyNumberFormat="1" applyFont="1" applyFill="1" applyBorder="1" applyAlignment="1">
      <alignment horizontal="left" vertical="center" wrapText="1" shrinkToFit="1"/>
    </xf>
    <xf numFmtId="0" fontId="12" fillId="0" borderId="69" xfId="5" applyFont="1" applyFill="1" applyBorder="1" applyAlignment="1">
      <alignment horizontal="left" vertical="center" wrapText="1"/>
    </xf>
    <xf numFmtId="0" fontId="12" fillId="0" borderId="56" xfId="5" applyFont="1" applyFill="1" applyBorder="1" applyAlignment="1">
      <alignment horizontal="left" vertical="center" wrapText="1"/>
    </xf>
    <xf numFmtId="0" fontId="12" fillId="0" borderId="70" xfId="5" applyFont="1" applyFill="1" applyBorder="1" applyAlignment="1">
      <alignment horizontal="left" vertical="center" wrapText="1"/>
    </xf>
    <xf numFmtId="0" fontId="12" fillId="0" borderId="71" xfId="5" applyFont="1" applyFill="1" applyBorder="1" applyAlignment="1">
      <alignment horizontal="left" vertical="center" wrapText="1"/>
    </xf>
    <xf numFmtId="0" fontId="12" fillId="0" borderId="72" xfId="5" applyFont="1" applyFill="1" applyBorder="1" applyAlignment="1">
      <alignment horizontal="left" vertical="center" wrapText="1"/>
    </xf>
    <xf numFmtId="0" fontId="12" fillId="0" borderId="73" xfId="5" applyFont="1" applyFill="1" applyBorder="1" applyAlignment="1">
      <alignment horizontal="left" vertical="center" wrapText="1"/>
    </xf>
    <xf numFmtId="1" fontId="14" fillId="0" borderId="64" xfId="5" applyNumberFormat="1" applyFont="1" applyFill="1" applyBorder="1" applyAlignment="1">
      <alignment horizontal="center" vertical="center" wrapText="1" shrinkToFit="1"/>
    </xf>
    <xf numFmtId="0" fontId="12" fillId="0" borderId="74" xfId="5" applyFont="1" applyFill="1" applyBorder="1" applyAlignment="1">
      <alignment horizontal="left" vertical="center" wrapText="1"/>
    </xf>
    <xf numFmtId="0" fontId="12" fillId="0" borderId="75" xfId="5" applyFont="1" applyFill="1" applyBorder="1" applyAlignment="1">
      <alignment horizontal="left" vertical="center" wrapText="1"/>
    </xf>
    <xf numFmtId="172" fontId="14" fillId="0" borderId="60" xfId="5" applyNumberFormat="1" applyFont="1" applyFill="1" applyBorder="1" applyAlignment="1">
      <alignment horizontal="center" vertical="center" wrapText="1" shrinkToFit="1"/>
    </xf>
    <xf numFmtId="9" fontId="14" fillId="0" borderId="60" xfId="5" applyNumberFormat="1" applyFont="1" applyFill="1" applyBorder="1" applyAlignment="1">
      <alignment horizontal="center" vertical="center" wrapText="1" shrinkToFit="1"/>
    </xf>
    <xf numFmtId="0" fontId="12" fillId="0" borderId="60" xfId="5" applyFont="1" applyFill="1" applyBorder="1" applyAlignment="1">
      <alignment horizontal="left" vertical="center" wrapText="1"/>
    </xf>
    <xf numFmtId="9" fontId="14" fillId="0" borderId="60" xfId="5" applyNumberFormat="1" applyFont="1" applyFill="1" applyBorder="1" applyAlignment="1">
      <alignment horizontal="left" vertical="center" wrapText="1" shrinkToFit="1"/>
    </xf>
    <xf numFmtId="1" fontId="14" fillId="0" borderId="65" xfId="5" applyNumberFormat="1" applyFont="1" applyFill="1" applyBorder="1" applyAlignment="1">
      <alignment horizontal="center" vertical="center" wrapText="1" shrinkToFit="1"/>
    </xf>
    <xf numFmtId="1" fontId="14" fillId="0" borderId="60" xfId="5" applyNumberFormat="1" applyFont="1" applyFill="1" applyBorder="1" applyAlignment="1">
      <alignment horizontal="center" vertical="center" wrapText="1" shrinkToFit="1"/>
    </xf>
    <xf numFmtId="1" fontId="14" fillId="0" borderId="78" xfId="5" applyNumberFormat="1" applyFont="1" applyFill="1" applyBorder="1" applyAlignment="1">
      <alignment horizontal="center" vertical="center" wrapText="1" shrinkToFit="1"/>
    </xf>
    <xf numFmtId="9" fontId="14" fillId="0" borderId="78" xfId="5" applyNumberFormat="1" applyFont="1" applyFill="1" applyBorder="1" applyAlignment="1">
      <alignment horizontal="center" vertical="center" wrapText="1" shrinkToFit="1"/>
    </xf>
    <xf numFmtId="0" fontId="18" fillId="0" borderId="78" xfId="5" applyFont="1" applyFill="1" applyBorder="1" applyAlignment="1">
      <alignment horizontal="left" vertical="center" wrapText="1"/>
    </xf>
    <xf numFmtId="9" fontId="18" fillId="0" borderId="78" xfId="5" applyNumberFormat="1" applyFont="1" applyFill="1" applyBorder="1" applyAlignment="1">
      <alignment horizontal="left" vertical="center" wrapText="1"/>
    </xf>
    <xf numFmtId="0" fontId="12" fillId="0" borderId="84" xfId="5" applyFont="1" applyFill="1" applyBorder="1" applyAlignment="1">
      <alignment horizontal="left" vertical="center" wrapText="1"/>
    </xf>
    <xf numFmtId="0" fontId="12" fillId="0" borderId="81" xfId="5" applyFont="1" applyFill="1" applyBorder="1" applyAlignment="1">
      <alignment horizontal="left" vertical="center" wrapText="1"/>
    </xf>
    <xf numFmtId="0" fontId="12" fillId="0" borderId="85" xfId="5" applyFont="1" applyFill="1" applyBorder="1" applyAlignment="1">
      <alignment horizontal="left" vertical="center" wrapText="1"/>
    </xf>
    <xf numFmtId="0" fontId="12" fillId="0" borderId="86" xfId="5" applyFont="1" applyFill="1" applyBorder="1" applyAlignment="1">
      <alignment horizontal="left" vertical="center" wrapText="1"/>
    </xf>
    <xf numFmtId="1" fontId="14" fillId="0" borderId="82" xfId="5" applyNumberFormat="1" applyFont="1" applyFill="1" applyBorder="1" applyAlignment="1">
      <alignment horizontal="center" vertical="center" wrapText="1" shrinkToFit="1"/>
    </xf>
    <xf numFmtId="9" fontId="14" fillId="0" borderId="82" xfId="5" applyNumberFormat="1" applyFont="1" applyFill="1" applyBorder="1" applyAlignment="1">
      <alignment horizontal="center" vertical="center" wrapText="1" shrinkToFit="1"/>
    </xf>
    <xf numFmtId="0" fontId="18" fillId="0" borderId="82" xfId="5" applyFont="1" applyFill="1" applyBorder="1" applyAlignment="1">
      <alignment horizontal="left" vertical="center" wrapText="1"/>
    </xf>
    <xf numFmtId="9" fontId="18" fillId="0" borderId="82" xfId="5" applyNumberFormat="1" applyFont="1" applyFill="1" applyBorder="1" applyAlignment="1">
      <alignment horizontal="left" vertical="center" wrapText="1"/>
    </xf>
    <xf numFmtId="0" fontId="12" fillId="0" borderId="82" xfId="5" applyFont="1" applyFill="1" applyBorder="1" applyAlignment="1">
      <alignment horizontal="left" vertical="center" wrapText="1"/>
    </xf>
    <xf numFmtId="9" fontId="14" fillId="0" borderId="82" xfId="5" applyNumberFormat="1" applyFont="1" applyFill="1" applyBorder="1" applyAlignment="1">
      <alignment horizontal="left" vertical="center" wrapText="1" shrinkToFit="1"/>
    </xf>
    <xf numFmtId="0" fontId="12" fillId="0" borderId="88" xfId="5" applyFont="1" applyFill="1" applyBorder="1" applyAlignment="1">
      <alignment horizontal="left" vertical="center" wrapText="1"/>
    </xf>
    <xf numFmtId="0" fontId="12" fillId="0" borderId="89" xfId="5" applyFont="1" applyFill="1" applyBorder="1" applyAlignment="1">
      <alignment horizontal="left" vertical="center" wrapText="1"/>
    </xf>
    <xf numFmtId="1" fontId="14" fillId="0" borderId="87" xfId="5" applyNumberFormat="1" applyFont="1" applyFill="1" applyBorder="1" applyAlignment="1">
      <alignment horizontal="center" vertical="center" wrapText="1" shrinkToFit="1"/>
    </xf>
    <xf numFmtId="9" fontId="14" fillId="0" borderId="87" xfId="5" applyNumberFormat="1" applyFont="1" applyFill="1" applyBorder="1" applyAlignment="1">
      <alignment horizontal="center" vertical="center" wrapText="1" shrinkToFit="1"/>
    </xf>
    <xf numFmtId="0" fontId="12" fillId="0" borderId="87" xfId="5" applyFont="1" applyFill="1" applyBorder="1" applyAlignment="1">
      <alignment horizontal="left" vertical="center" wrapText="1"/>
    </xf>
    <xf numFmtId="9" fontId="14" fillId="0" borderId="87" xfId="5" applyNumberFormat="1" applyFont="1" applyFill="1" applyBorder="1" applyAlignment="1">
      <alignment horizontal="left" vertical="center" wrapText="1" shrinkToFit="1"/>
    </xf>
    <xf numFmtId="2" fontId="7" fillId="0" borderId="87" xfId="0" applyNumberFormat="1" applyFont="1" applyFill="1" applyBorder="1" applyAlignment="1">
      <alignment horizontal="left" vertical="center" wrapText="1"/>
    </xf>
    <xf numFmtId="2" fontId="7" fillId="0" borderId="87" xfId="0" applyNumberFormat="1" applyFont="1" applyFill="1" applyBorder="1" applyAlignment="1">
      <alignment horizontal="center" vertical="center" wrapText="1"/>
    </xf>
    <xf numFmtId="2" fontId="7" fillId="0" borderId="90" xfId="0" applyNumberFormat="1" applyFont="1" applyFill="1" applyBorder="1" applyAlignment="1">
      <alignment horizontal="center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469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O25"/>
  <sheetViews>
    <sheetView zoomScale="86" zoomScaleNormal="93" workbookViewId="0">
      <selection activeCell="I28" sqref="I28"/>
    </sheetView>
  </sheetViews>
  <sheetFormatPr defaultRowHeight="13.2"/>
  <cols>
    <col min="1" max="1" width="14.21875" style="68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9" customWidth="1"/>
    <col min="10" max="10" width="10.33203125" customWidth="1"/>
    <col min="11" max="11" width="24.5546875" customWidth="1"/>
    <col min="12" max="12" width="26.88671875" customWidth="1"/>
    <col min="13" max="13" width="24.88671875" customWidth="1"/>
    <col min="14" max="14" width="15" customWidth="1"/>
    <col min="15" max="15" width="23.21875" customWidth="1"/>
  </cols>
  <sheetData>
    <row r="1" spans="1:15" s="25" customFormat="1" ht="13.8" thickBot="1">
      <c r="A1" s="85" t="s">
        <v>185</v>
      </c>
      <c r="B1" s="85" t="s">
        <v>186</v>
      </c>
      <c r="C1" s="85" t="s">
        <v>187</v>
      </c>
      <c r="D1" s="85" t="s">
        <v>188</v>
      </c>
      <c r="E1" s="150" t="s">
        <v>189</v>
      </c>
      <c r="F1" s="151"/>
      <c r="G1" s="152"/>
      <c r="H1" s="85" t="s">
        <v>190</v>
      </c>
      <c r="I1" s="85" t="s">
        <v>5</v>
      </c>
      <c r="J1" s="85" t="s">
        <v>6</v>
      </c>
      <c r="K1" s="85" t="s">
        <v>7</v>
      </c>
      <c r="L1" s="85" t="s">
        <v>8</v>
      </c>
      <c r="M1" s="85" t="s">
        <v>9</v>
      </c>
      <c r="N1" s="85" t="s">
        <v>237</v>
      </c>
      <c r="O1" s="85" t="s">
        <v>238</v>
      </c>
    </row>
    <row r="2" spans="1:15" ht="13.2" customHeight="1" thickTop="1">
      <c r="A2" s="137" t="s">
        <v>223</v>
      </c>
      <c r="B2" s="140" t="s">
        <v>224</v>
      </c>
      <c r="C2" s="143">
        <v>10</v>
      </c>
      <c r="D2" s="146">
        <v>0.4</v>
      </c>
      <c r="E2" s="87" t="s">
        <v>19</v>
      </c>
      <c r="F2" s="86">
        <v>0.6</v>
      </c>
      <c r="G2" s="87" t="s">
        <v>225</v>
      </c>
      <c r="H2" s="88"/>
      <c r="I2" s="134">
        <f>IF(F2=1, H2, SUMPRODUCT(H2:H5, F2:F5))</f>
        <v>0</v>
      </c>
      <c r="J2" s="134">
        <f>SUMIF(H2:H5, "&lt;&gt;", F2:F5) / SUMIF(F2:F5, "&lt;&gt;")</f>
        <v>0</v>
      </c>
      <c r="K2" s="134" t="str">
        <f>IFERROR(I2/J2, "No grades yet")</f>
        <v>No grades yet</v>
      </c>
      <c r="L2" s="134">
        <f>IFERROR(IF(J2 = 1, "Completed module", IF(((70 - I2) / (1 - J2)) &gt; 100, "Unattainable", IF(((70 - I2) / (1 - J2)) &lt; 0, "Already attained", ((70 - I2) / (1 - J2))))), "-")</f>
        <v>70</v>
      </c>
      <c r="M2" s="134">
        <f>IFERROR(IF(J2 = 1, "Completed module", IF(((60 - I2) / (1 - J2)) &gt; 100, "Unattainable", IF(((60 - I2) / (1 - J2)) &lt; 0, "Already attained", ((60 - I2) / (1 - J2))))), "-")</f>
        <v>60</v>
      </c>
      <c r="N2" s="134">
        <f>IFERROR(IF(J2 = 1, "Completed module", IF(((50 - I2) / (1 - J2)) &gt; 100, "Unattainable", IF(((50 - I2) / (1 - J2)) &lt; 0, "Already attained", ((50 - I2) / (1 - J2))))), "-")</f>
        <v>50</v>
      </c>
      <c r="O2" s="157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138"/>
      <c r="B3" s="141"/>
      <c r="C3" s="144"/>
      <c r="D3" s="147"/>
      <c r="E3" s="70" t="s">
        <v>198</v>
      </c>
      <c r="F3" s="69">
        <v>0.3</v>
      </c>
      <c r="G3" s="70" t="s">
        <v>226</v>
      </c>
      <c r="H3" s="71"/>
      <c r="I3" s="135"/>
      <c r="J3" s="135"/>
      <c r="K3" s="135"/>
      <c r="L3" s="135"/>
      <c r="M3" s="135"/>
      <c r="N3" s="135"/>
      <c r="O3" s="159"/>
    </row>
    <row r="4" spans="1:15">
      <c r="A4" s="138"/>
      <c r="B4" s="141"/>
      <c r="C4" s="144"/>
      <c r="D4" s="147"/>
      <c r="E4" s="70" t="s">
        <v>22</v>
      </c>
      <c r="F4" s="69">
        <v>0</v>
      </c>
      <c r="G4" s="70" t="s">
        <v>227</v>
      </c>
      <c r="H4" s="83"/>
      <c r="I4" s="135"/>
      <c r="J4" s="135"/>
      <c r="K4" s="135"/>
      <c r="L4" s="135"/>
      <c r="M4" s="135"/>
      <c r="N4" s="135"/>
      <c r="O4" s="159"/>
    </row>
    <row r="5" spans="1:15" ht="13.8" thickBot="1">
      <c r="A5" s="139"/>
      <c r="B5" s="142"/>
      <c r="C5" s="145"/>
      <c r="D5" s="148"/>
      <c r="E5" s="90" t="s">
        <v>22</v>
      </c>
      <c r="F5" s="89">
        <v>0.1</v>
      </c>
      <c r="G5" s="90" t="s">
        <v>228</v>
      </c>
      <c r="H5" s="91"/>
      <c r="I5" s="136"/>
      <c r="J5" s="136"/>
      <c r="K5" s="136"/>
      <c r="L5" s="136"/>
      <c r="M5" s="136"/>
      <c r="N5" s="136"/>
      <c r="O5" s="158"/>
    </row>
    <row r="6" spans="1:15" ht="13.8" thickTop="1">
      <c r="A6" s="137" t="s">
        <v>199</v>
      </c>
      <c r="B6" s="140" t="s">
        <v>200</v>
      </c>
      <c r="C6" s="143">
        <v>5</v>
      </c>
      <c r="D6" s="146">
        <v>0.4</v>
      </c>
      <c r="E6" s="87" t="s">
        <v>201</v>
      </c>
      <c r="F6" s="86">
        <v>0.4</v>
      </c>
      <c r="G6" s="87" t="s">
        <v>201</v>
      </c>
      <c r="H6" s="88"/>
      <c r="I6" s="134">
        <f>IF(F6=1, H6, SUMPRODUCT(H6:H9, F6:F9))</f>
        <v>0</v>
      </c>
      <c r="J6" s="134">
        <f>SUMIF(H6:H9, "&lt;&gt;", F6:F9) / SUMIF(F6:F9, "&lt;&gt;")</f>
        <v>0</v>
      </c>
      <c r="K6" s="134" t="str">
        <f>IFERROR(I6/J6, "No grades yet")</f>
        <v>No grades yet</v>
      </c>
      <c r="L6" s="134">
        <f>IFERROR(IF(J6 = 1, "Completed module", IF(((70 - I6) / (1 - J6)) &gt; 100, "Unattainable", IF(((70 - I6) / (1 - J6)) &lt; 0, "Already attained", ((70 - I6) / (1 - J6))))), "-")</f>
        <v>70</v>
      </c>
      <c r="M6" s="134">
        <f>IFERROR(IF(J6 = 1, "Completed module", IF(((60 - I6) / (1 - J6)) &gt; 100, "Unattainable", IF(((60 - I6) / (1 - J6)) &lt; 0, "Already attained", ((60 - I6) / (1 - J6))))), "-")</f>
        <v>60</v>
      </c>
      <c r="N6" s="134">
        <f>IFERROR(IF(J6 = 1, "Completed module", IF(((50 - I6) / (1 - J6)) &gt; 100, "Unattainable", IF(((50 - I6) / (1 - J6)) &lt; 0, "Already attained", ((50 - I6) / (1 - J6))))), "-")</f>
        <v>50</v>
      </c>
      <c r="O6" s="157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138"/>
      <c r="B7" s="141"/>
      <c r="C7" s="144"/>
      <c r="D7" s="147"/>
      <c r="E7" s="70" t="s">
        <v>11</v>
      </c>
      <c r="F7" s="69">
        <v>0.6</v>
      </c>
      <c r="G7" s="70" t="s">
        <v>202</v>
      </c>
      <c r="H7" s="71"/>
      <c r="I7" s="135"/>
      <c r="J7" s="135"/>
      <c r="K7" s="135"/>
      <c r="L7" s="135"/>
      <c r="M7" s="135"/>
      <c r="N7" s="135"/>
      <c r="O7" s="159"/>
    </row>
    <row r="8" spans="1:15">
      <c r="A8" s="138"/>
      <c r="B8" s="141"/>
      <c r="C8" s="144"/>
      <c r="D8" s="147"/>
      <c r="E8" s="70" t="s">
        <v>13</v>
      </c>
      <c r="F8" s="69">
        <v>0</v>
      </c>
      <c r="G8" s="70" t="s">
        <v>203</v>
      </c>
      <c r="H8" s="71"/>
      <c r="I8" s="135"/>
      <c r="J8" s="135"/>
      <c r="K8" s="135"/>
      <c r="L8" s="135"/>
      <c r="M8" s="135"/>
      <c r="N8" s="135"/>
      <c r="O8" s="159"/>
    </row>
    <row r="9" spans="1:15" ht="13.8" thickBot="1">
      <c r="A9" s="139"/>
      <c r="B9" s="142"/>
      <c r="C9" s="145"/>
      <c r="D9" s="148"/>
      <c r="E9" s="90" t="s">
        <v>201</v>
      </c>
      <c r="F9" s="89">
        <v>0</v>
      </c>
      <c r="G9" s="90" t="s">
        <v>204</v>
      </c>
      <c r="H9" s="84"/>
      <c r="I9" s="136"/>
      <c r="J9" s="136"/>
      <c r="K9" s="136"/>
      <c r="L9" s="136"/>
      <c r="M9" s="136"/>
      <c r="N9" s="136"/>
      <c r="O9" s="158"/>
    </row>
    <row r="10" spans="1:15" ht="13.8" thickTop="1">
      <c r="A10" s="137" t="s">
        <v>205</v>
      </c>
      <c r="B10" s="140" t="s">
        <v>206</v>
      </c>
      <c r="C10" s="143">
        <v>15</v>
      </c>
      <c r="D10" s="146">
        <v>0.4</v>
      </c>
      <c r="E10" s="87" t="s">
        <v>22</v>
      </c>
      <c r="F10" s="86">
        <v>0.1</v>
      </c>
      <c r="G10" s="87" t="s">
        <v>207</v>
      </c>
      <c r="H10" s="88"/>
      <c r="I10" s="134">
        <f>IF(F10=1, H10, SUMPRODUCT(H10:H13, F10:F13))</f>
        <v>0</v>
      </c>
      <c r="J10" s="134">
        <f>SUMIF(H10:H13, "&lt;&gt;", F10:F13) / SUMIF(F10:F13, "&lt;&gt;")</f>
        <v>0</v>
      </c>
      <c r="K10" s="134" t="str">
        <f>IFERROR(I10/J10, "No grades yet")</f>
        <v>No grades yet</v>
      </c>
      <c r="L10" s="134">
        <f>IFERROR(IF(J10 = 1, "Completed module", IF(((70 - I10) / (1 - J10)) &gt; 100, "Unattainable", IF(((70 - I10) / (1 - J10)) &lt; 0, "Already attained", ((70 - I10) / (1 - J10))))), "-")</f>
        <v>70</v>
      </c>
      <c r="M10" s="134">
        <f>IFERROR(IF(J10 = 1, "Completed module", IF(((60 - I10) / (1 - J10)) &gt; 100, "Unattainable", IF(((60 - I10) / (1 - J10)) &lt; 0, "Already attained", ((60 - I10) / (1 - J10))))), "-")</f>
        <v>60</v>
      </c>
      <c r="N10" s="134">
        <f>IFERROR(IF(J10 = 1, "Completed module", IF(((50 - I10) / (1 - J10)) &gt; 100, "Unattainable", IF(((50 - I10) / (1 - J10)) &lt; 0, "Already attained", ((50 - I10) / (1 - J10))))), "-")</f>
        <v>50</v>
      </c>
      <c r="O10" s="157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138"/>
      <c r="B11" s="141"/>
      <c r="C11" s="144"/>
      <c r="D11" s="147"/>
      <c r="E11" s="70" t="s">
        <v>22</v>
      </c>
      <c r="F11" s="69">
        <v>0.1</v>
      </c>
      <c r="G11" s="70" t="s">
        <v>208</v>
      </c>
      <c r="H11" s="71"/>
      <c r="I11" s="135"/>
      <c r="J11" s="135"/>
      <c r="K11" s="135"/>
      <c r="L11" s="135"/>
      <c r="M11" s="135"/>
      <c r="N11" s="135"/>
      <c r="O11" s="159"/>
    </row>
    <row r="12" spans="1:15">
      <c r="A12" s="138"/>
      <c r="B12" s="141"/>
      <c r="C12" s="144"/>
      <c r="D12" s="147"/>
      <c r="E12" s="70" t="s">
        <v>19</v>
      </c>
      <c r="F12" s="69">
        <v>0.5</v>
      </c>
      <c r="G12" s="70" t="s">
        <v>209</v>
      </c>
      <c r="H12" s="71"/>
      <c r="I12" s="135"/>
      <c r="J12" s="135"/>
      <c r="K12" s="135"/>
      <c r="L12" s="135"/>
      <c r="M12" s="135"/>
      <c r="N12" s="135"/>
      <c r="O12" s="159"/>
    </row>
    <row r="13" spans="1:15" ht="13.8" thickBot="1">
      <c r="A13" s="139"/>
      <c r="B13" s="142"/>
      <c r="C13" s="145"/>
      <c r="D13" s="148"/>
      <c r="E13" s="90" t="s">
        <v>19</v>
      </c>
      <c r="F13" s="89">
        <v>0.3</v>
      </c>
      <c r="G13" s="90" t="s">
        <v>210</v>
      </c>
      <c r="H13" s="84"/>
      <c r="I13" s="136"/>
      <c r="J13" s="136"/>
      <c r="K13" s="136"/>
      <c r="L13" s="136"/>
      <c r="M13" s="136"/>
      <c r="N13" s="136"/>
      <c r="O13" s="158"/>
    </row>
    <row r="14" spans="1:15" ht="13.8" thickTop="1">
      <c r="A14" s="137" t="s">
        <v>211</v>
      </c>
      <c r="B14" s="140" t="s">
        <v>212</v>
      </c>
      <c r="C14" s="143">
        <v>15</v>
      </c>
      <c r="D14" s="146">
        <v>0.4</v>
      </c>
      <c r="E14" s="87" t="s">
        <v>19</v>
      </c>
      <c r="F14" s="86">
        <v>0.6</v>
      </c>
      <c r="G14" s="87" t="s">
        <v>213</v>
      </c>
      <c r="H14" s="88"/>
      <c r="I14" s="134">
        <f>IF(F14=1, H14, SUMPRODUCT(H14:H15, F14:F15))</f>
        <v>0</v>
      </c>
      <c r="J14" s="134">
        <f>SUMIF(H14:H15, "&lt;&gt;", F14:F15) / SUMIF(F14:F15, "&lt;&gt;")</f>
        <v>0</v>
      </c>
      <c r="K14" s="134" t="str">
        <f>IFERROR(I14/J14, "No grades yet")</f>
        <v>No grades yet</v>
      </c>
      <c r="L14" s="134">
        <f>IFERROR(IF(J14 = 1, "Completed module", IF(((70 - I14) / (1 - J14)) &gt; 100, "Unattainable", IF(((70 - I14) / (1 - J14)) &lt; 0, "Already attained", ((70 - I14) / (1 - J14))))), "-")</f>
        <v>70</v>
      </c>
      <c r="M14" s="134">
        <f>IFERROR(IF(J14 = 1, "Completed module", IF(((60 - I14) / (1 - J14)) &gt; 100, "Unattainable", IF(((60 - I14) / (1 - J14)) &lt; 0, "Already attained", ((60 - I14) / (1 - J14))))), "-")</f>
        <v>60</v>
      </c>
      <c r="N14" s="134">
        <f>IFERROR(IF(J14 = 1, "Completed module", IF(((50 - I14) / (1 - J14)) &gt; 100, "Unattainable", IF(((50 - I14) / (1 - J14)) &lt; 0, "Already attained", ((50 - I14) / (1 - J14))))), "-")</f>
        <v>50</v>
      </c>
      <c r="O14" s="157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>
      <c r="A15" s="139"/>
      <c r="B15" s="142"/>
      <c r="C15" s="145"/>
      <c r="D15" s="148"/>
      <c r="E15" s="90" t="s">
        <v>214</v>
      </c>
      <c r="F15" s="89">
        <v>0.4</v>
      </c>
      <c r="G15" s="90" t="s">
        <v>215</v>
      </c>
      <c r="H15" s="84"/>
      <c r="I15" s="136"/>
      <c r="J15" s="136"/>
      <c r="K15" s="136"/>
      <c r="L15" s="136"/>
      <c r="M15" s="136"/>
      <c r="N15" s="136"/>
      <c r="O15" s="158"/>
    </row>
    <row r="16" spans="1:15" ht="13.8" thickTop="1">
      <c r="A16" s="137" t="s">
        <v>216</v>
      </c>
      <c r="B16" s="140" t="s">
        <v>217</v>
      </c>
      <c r="C16" s="143">
        <v>15</v>
      </c>
      <c r="D16" s="146">
        <v>0.4</v>
      </c>
      <c r="E16" s="87" t="s">
        <v>19</v>
      </c>
      <c r="F16" s="86">
        <v>0.2</v>
      </c>
      <c r="G16" s="87" t="s">
        <v>218</v>
      </c>
      <c r="H16" s="88"/>
      <c r="I16" s="134">
        <f>IF(F16=1, H16, SUMPRODUCT(H16:H20, F16:F20))</f>
        <v>0</v>
      </c>
      <c r="J16" s="134">
        <f>SUMIF(H16:H20, "&lt;&gt;", F16:F20) / SUMIF(F16:F20, "&lt;&gt;")</f>
        <v>0</v>
      </c>
      <c r="K16" s="134" t="str">
        <f>IFERROR(I16/J16, "No grades yet")</f>
        <v>No grades yet</v>
      </c>
      <c r="L16" s="134">
        <f>IFERROR(IF(J16 = 1, "Completed module", IF(((70 - I16) / (1 - J16)) &gt; 100, "Unattainable", IF(((70 - I16) / (1 - J16)) &lt; 0, "Already attained", ((70 - I16) / (1 - J16))))), "-")</f>
        <v>70</v>
      </c>
      <c r="M16" s="134">
        <f>IFERROR(IF(J16 = 1, "Completed module", IF(((60 - I16) / (1 - J16)) &gt; 100, "Unattainable", IF(((60 - I16) / (1 - J16)) &lt; 0, "Already attained", ((60 - I16) / (1 - J16))))), "-")</f>
        <v>60</v>
      </c>
      <c r="N16" s="134">
        <f>IFERROR(IF(J16 = 1, "Completed module", IF(((50 - I16) / (1 - J16)) &gt; 100, "Unattainable", IF(((50 - I16) / (1 - J16)) &lt; 0, "Already attained", ((50 - I16) / (1 - J16))))), "-")</f>
        <v>50</v>
      </c>
      <c r="O16" s="157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138"/>
      <c r="B17" s="141"/>
      <c r="C17" s="144"/>
      <c r="D17" s="147"/>
      <c r="E17" s="70" t="s">
        <v>19</v>
      </c>
      <c r="F17" s="69">
        <v>0.5</v>
      </c>
      <c r="G17" s="70" t="s">
        <v>219</v>
      </c>
      <c r="H17" s="71"/>
      <c r="I17" s="135"/>
      <c r="J17" s="135"/>
      <c r="K17" s="135"/>
      <c r="L17" s="135"/>
      <c r="M17" s="135"/>
      <c r="N17" s="135"/>
      <c r="O17" s="159"/>
    </row>
    <row r="18" spans="1:15">
      <c r="A18" s="138"/>
      <c r="B18" s="141"/>
      <c r="C18" s="144"/>
      <c r="D18" s="147"/>
      <c r="E18" s="70" t="s">
        <v>31</v>
      </c>
      <c r="F18" s="69">
        <v>0.1</v>
      </c>
      <c r="G18" s="70" t="s">
        <v>220</v>
      </c>
      <c r="H18" s="71"/>
      <c r="I18" s="135"/>
      <c r="J18" s="135"/>
      <c r="K18" s="135"/>
      <c r="L18" s="135"/>
      <c r="M18" s="135"/>
      <c r="N18" s="135"/>
      <c r="O18" s="159"/>
    </row>
    <row r="19" spans="1:15">
      <c r="A19" s="138"/>
      <c r="B19" s="141"/>
      <c r="C19" s="144"/>
      <c r="D19" s="147"/>
      <c r="E19" s="70" t="s">
        <v>31</v>
      </c>
      <c r="F19" s="69">
        <v>0.1</v>
      </c>
      <c r="G19" s="70" t="s">
        <v>221</v>
      </c>
      <c r="H19" s="71"/>
      <c r="I19" s="135"/>
      <c r="J19" s="135"/>
      <c r="K19" s="135"/>
      <c r="L19" s="135"/>
      <c r="M19" s="135"/>
      <c r="N19" s="135"/>
      <c r="O19" s="159"/>
    </row>
    <row r="20" spans="1:15" ht="13.8" thickBot="1">
      <c r="A20" s="153"/>
      <c r="B20" s="154"/>
      <c r="C20" s="155"/>
      <c r="D20" s="156"/>
      <c r="E20" s="93" t="s">
        <v>31</v>
      </c>
      <c r="F20" s="92">
        <v>0.1</v>
      </c>
      <c r="G20" s="93" t="s">
        <v>222</v>
      </c>
      <c r="H20" s="94"/>
      <c r="I20" s="149"/>
      <c r="J20" s="149"/>
      <c r="K20" s="149"/>
      <c r="L20" s="149"/>
      <c r="M20" s="149"/>
      <c r="N20" s="149"/>
      <c r="O20" s="160"/>
    </row>
    <row r="21" spans="1:15" ht="13.8" thickTop="1"/>
    <row r="25" spans="1:15">
      <c r="L25" s="39"/>
    </row>
  </sheetData>
  <mergeCells count="56"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I16:I20"/>
    <mergeCell ref="J16:J20"/>
    <mergeCell ref="K16:K20"/>
    <mergeCell ref="L16:L20"/>
    <mergeCell ref="I14:I15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C10:C13"/>
    <mergeCell ref="D10:D13"/>
    <mergeCell ref="A6:A9"/>
    <mergeCell ref="B6:B9"/>
    <mergeCell ref="C6:C9"/>
    <mergeCell ref="D6:D9"/>
    <mergeCell ref="K2:K5"/>
    <mergeCell ref="L2:L5"/>
    <mergeCell ref="M2:M5"/>
    <mergeCell ref="A2:A5"/>
    <mergeCell ref="B2:B5"/>
    <mergeCell ref="C2:C5"/>
    <mergeCell ref="D2:D5"/>
    <mergeCell ref="J2:J5"/>
  </mergeCells>
  <conditionalFormatting sqref="H2:H20 K2:K20">
    <cfRule type="expression" dxfId="468" priority="1" stopIfTrue="1">
      <formula>ISBLANK(H2)</formula>
    </cfRule>
    <cfRule type="cellIs" dxfId="467" priority="2" stopIfTrue="1" operator="equal">
      <formula>"No grades yet"</formula>
    </cfRule>
    <cfRule type="cellIs" dxfId="466" priority="3" stopIfTrue="1" operator="greaterThanOrEqual">
      <formula>70</formula>
    </cfRule>
    <cfRule type="cellIs" dxfId="465" priority="4" stopIfTrue="1" operator="between">
      <formula>60</formula>
      <formula>69.999</formula>
    </cfRule>
    <cfRule type="cellIs" dxfId="464" priority="5" stopIfTrue="1" operator="between">
      <formula>50</formula>
      <formula>59.999</formula>
    </cfRule>
    <cfRule type="cellIs" dxfId="463" priority="6" stopIfTrue="1" operator="between">
      <formula>40</formula>
      <formula>49.999</formula>
    </cfRule>
    <cfRule type="cellIs" dxfId="462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G33" sqref="G33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customWidth="1"/>
    <col min="14" max="14" width="21.33203125" customWidth="1"/>
    <col min="15" max="15" width="21.88671875" customWidth="1"/>
  </cols>
  <sheetData>
    <row r="1" spans="1:15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  <c r="N1" s="85" t="s">
        <v>237</v>
      </c>
      <c r="O1" s="85" t="s">
        <v>238</v>
      </c>
    </row>
    <row r="2" spans="1:15" ht="13.8" thickTop="1">
      <c r="A2" s="179" t="s">
        <v>139</v>
      </c>
      <c r="B2" s="164" t="s">
        <v>10</v>
      </c>
      <c r="C2" s="167">
        <v>10</v>
      </c>
      <c r="D2" s="173">
        <v>0.4</v>
      </c>
      <c r="E2" s="117" t="s">
        <v>11</v>
      </c>
      <c r="F2" s="116">
        <v>0.25</v>
      </c>
      <c r="G2" s="117" t="s">
        <v>12</v>
      </c>
      <c r="H2" s="118"/>
      <c r="I2" s="170">
        <f>IF(F2=1, H2, SUMPRODUCT(H2:H5, F2:F5))</f>
        <v>0</v>
      </c>
      <c r="J2" s="170">
        <f>SUMIF(H2:H5, "&lt;&gt;", F2:F5) / SUMIF(F2:F5, "&lt;&gt;")</f>
        <v>0</v>
      </c>
      <c r="K2" s="161" t="str">
        <f>IFERROR(I2/J2, "No grades yet")</f>
        <v>No grades yet</v>
      </c>
      <c r="L2" s="161">
        <f>IFERROR(IF(J2 = 1, "Completed module", IF(((70 - I2) / (1 - J2)) &gt; 100, "Unattainable", IF(((70 - I2) / (1 - J2)) &lt; 0, "Already attained", ((70 - I2) / (1 - J2))))), "-")</f>
        <v>70</v>
      </c>
      <c r="M2" s="161">
        <f>IFERROR(IF(J2 = 1, "Completed module", IF(((60 - I2) / (1 - J2)) &gt; 100, "Unattainable", IF(((60 - I2) / (1 - J2)) &lt; 0, "Already attained", ((60 - I2) / (1 - J2))))), "-")</f>
        <v>60</v>
      </c>
      <c r="N2" s="134">
        <f>IFERROR(IF(J2 = 1, "Completed module", IF(((50 - I2) / (1 - J2)) &gt; 100, "Unattainable", IF(((50 - I2) / (1 - J2)) &lt; 0, "Already attained", ((50 - I2) / (1 - J2))))), "-")</f>
        <v>50</v>
      </c>
      <c r="O2" s="157">
        <f>IFERROR(IF(J2 = 1, "Completed module", IF(((40 - I2) / (1 - J2)) &gt; 100, "Unattainable", IF(((40 - I2) / (1 - J2)) &lt; 0, "Already attained", ((40 - I2) / (1 - J2))))), "-")</f>
        <v>40</v>
      </c>
    </row>
    <row r="3" spans="1:15" ht="13.2">
      <c r="A3" s="180"/>
      <c r="B3" s="165"/>
      <c r="C3" s="168"/>
      <c r="D3" s="168"/>
      <c r="E3" s="113" t="s">
        <v>13</v>
      </c>
      <c r="F3" s="112">
        <v>0.25</v>
      </c>
      <c r="G3" s="113" t="s">
        <v>14</v>
      </c>
      <c r="H3" s="114"/>
      <c r="I3" s="171"/>
      <c r="J3" s="171"/>
      <c r="K3" s="162"/>
      <c r="L3" s="162"/>
      <c r="M3" s="162"/>
      <c r="N3" s="135"/>
      <c r="O3" s="159"/>
    </row>
    <row r="4" spans="1:15" ht="13.2">
      <c r="A4" s="180"/>
      <c r="B4" s="165"/>
      <c r="C4" s="168"/>
      <c r="D4" s="168"/>
      <c r="E4" s="113" t="s">
        <v>15</v>
      </c>
      <c r="F4" s="112">
        <v>0.25</v>
      </c>
      <c r="G4" s="113" t="s">
        <v>16</v>
      </c>
      <c r="H4" s="114"/>
      <c r="I4" s="171"/>
      <c r="J4" s="171"/>
      <c r="K4" s="162"/>
      <c r="L4" s="162"/>
      <c r="M4" s="162"/>
      <c r="N4" s="135"/>
      <c r="O4" s="159"/>
    </row>
    <row r="5" spans="1:15" ht="13.8" thickBot="1">
      <c r="A5" s="181"/>
      <c r="B5" s="166"/>
      <c r="C5" s="169"/>
      <c r="D5" s="169"/>
      <c r="E5" s="122" t="s">
        <v>11</v>
      </c>
      <c r="F5" s="123">
        <v>0.25</v>
      </c>
      <c r="G5" s="122" t="s">
        <v>17</v>
      </c>
      <c r="H5" s="124"/>
      <c r="I5" s="172"/>
      <c r="J5" s="172"/>
      <c r="K5" s="163"/>
      <c r="L5" s="163"/>
      <c r="M5" s="163"/>
      <c r="N5" s="136"/>
      <c r="O5" s="158"/>
    </row>
    <row r="6" spans="1:15" ht="13.8" thickTop="1">
      <c r="A6" s="179" t="s">
        <v>140</v>
      </c>
      <c r="B6" s="164" t="s">
        <v>18</v>
      </c>
      <c r="C6" s="167">
        <v>15</v>
      </c>
      <c r="D6" s="173">
        <v>0.4</v>
      </c>
      <c r="E6" s="117" t="s">
        <v>19</v>
      </c>
      <c r="F6" s="116">
        <v>0.35</v>
      </c>
      <c r="G6" s="117" t="s">
        <v>20</v>
      </c>
      <c r="H6" s="118"/>
      <c r="I6" s="170">
        <f>IF(F6=1, H6, SUMPRODUCT(H6:H11, F6:F11))</f>
        <v>15.986500000000003</v>
      </c>
      <c r="J6" s="170">
        <f>SUMIF(H6:H11, "&lt;&gt;", F6:F11) / SUMIF(F6:F11, "&lt;&gt;")</f>
        <v>0.25</v>
      </c>
      <c r="K6" s="161">
        <f>IFERROR(I6/J6, "No grades yet")</f>
        <v>63.946000000000012</v>
      </c>
      <c r="L6" s="161">
        <f>IFERROR(IF(J6 = 1, "Completed module", IF(((70 - I6) / (1 - J6)) &gt; 100, "Unattainable", IF(((70 - I6) / (1 - J6)) &lt; 0, "Already attained", ((70 - I6) / (1 - J6))))), "-")</f>
        <v>72.017999999999986</v>
      </c>
      <c r="M6" s="161">
        <f>IFERROR(IF(J6 = 1, "Completed module", IF(((60 - I6) / (1 - J6)) &gt; 100, "Unattainable", IF(((60 - I6) / (1 - J6)) &lt; 0, "Already attained", ((60 - I6) / (1 - J6))))), "-")</f>
        <v>58.684666666666658</v>
      </c>
      <c r="N6" s="134">
        <f>IFERROR(IF(J6 = 1, "Completed module", IF(((50 - I6) / (1 - J6)) &gt; 100, "Unattainable", IF(((50 - I6) / (1 - J6)) &lt; 0, "Already attained", ((50 - I6) / (1 - J6))))), "-")</f>
        <v>45.351333333333322</v>
      </c>
      <c r="O6" s="157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>
      <c r="A7" s="180"/>
      <c r="B7" s="165"/>
      <c r="C7" s="168"/>
      <c r="D7" s="168"/>
      <c r="E7" s="113" t="s">
        <v>19</v>
      </c>
      <c r="F7" s="112">
        <v>0.35</v>
      </c>
      <c r="G7" s="113" t="s">
        <v>21</v>
      </c>
      <c r="H7" s="114"/>
      <c r="I7" s="171"/>
      <c r="J7" s="171"/>
      <c r="K7" s="162"/>
      <c r="L7" s="162"/>
      <c r="M7" s="162"/>
      <c r="N7" s="135"/>
      <c r="O7" s="159"/>
    </row>
    <row r="8" spans="1:15" ht="13.2">
      <c r="A8" s="180"/>
      <c r="B8" s="165"/>
      <c r="C8" s="168"/>
      <c r="D8" s="168"/>
      <c r="E8" s="113" t="s">
        <v>22</v>
      </c>
      <c r="F8" s="112">
        <v>0.1</v>
      </c>
      <c r="G8" s="113" t="s">
        <v>23</v>
      </c>
      <c r="H8" s="114">
        <v>56</v>
      </c>
      <c r="I8" s="171"/>
      <c r="J8" s="171"/>
      <c r="K8" s="162"/>
      <c r="L8" s="162"/>
      <c r="M8" s="162"/>
      <c r="N8" s="135"/>
      <c r="O8" s="159"/>
    </row>
    <row r="9" spans="1:15" ht="13.2">
      <c r="A9" s="180"/>
      <c r="B9" s="165"/>
      <c r="C9" s="168"/>
      <c r="D9" s="168"/>
      <c r="E9" s="113" t="s">
        <v>22</v>
      </c>
      <c r="F9" s="112">
        <v>0.05</v>
      </c>
      <c r="G9" s="113" t="s">
        <v>24</v>
      </c>
      <c r="H9" s="114">
        <v>65.73</v>
      </c>
      <c r="I9" s="171"/>
      <c r="J9" s="171"/>
      <c r="K9" s="162"/>
      <c r="L9" s="162"/>
      <c r="M9" s="162"/>
      <c r="N9" s="135"/>
      <c r="O9" s="159"/>
    </row>
    <row r="10" spans="1:15" ht="13.2">
      <c r="A10" s="180"/>
      <c r="B10" s="165"/>
      <c r="C10" s="168"/>
      <c r="D10" s="168"/>
      <c r="E10" s="113" t="s">
        <v>22</v>
      </c>
      <c r="F10" s="112">
        <v>0.1</v>
      </c>
      <c r="G10" s="113" t="s">
        <v>25</v>
      </c>
      <c r="H10" s="114">
        <v>71</v>
      </c>
      <c r="I10" s="171"/>
      <c r="J10" s="171"/>
      <c r="K10" s="162"/>
      <c r="L10" s="162"/>
      <c r="M10" s="162"/>
      <c r="N10" s="135"/>
      <c r="O10" s="159"/>
    </row>
    <row r="11" spans="1:15" ht="13.8" thickBot="1">
      <c r="A11" s="181"/>
      <c r="B11" s="166"/>
      <c r="C11" s="169"/>
      <c r="D11" s="169"/>
      <c r="E11" s="122" t="s">
        <v>22</v>
      </c>
      <c r="F11" s="123">
        <v>0.05</v>
      </c>
      <c r="G11" s="122" t="s">
        <v>26</v>
      </c>
      <c r="H11" s="124"/>
      <c r="I11" s="172"/>
      <c r="J11" s="172"/>
      <c r="K11" s="163"/>
      <c r="L11" s="163"/>
      <c r="M11" s="163"/>
      <c r="N11" s="136"/>
      <c r="O11" s="158"/>
    </row>
    <row r="12" spans="1:15" ht="13.8" thickTop="1">
      <c r="A12" s="179" t="s">
        <v>141</v>
      </c>
      <c r="B12" s="164" t="s">
        <v>27</v>
      </c>
      <c r="C12" s="167">
        <v>15</v>
      </c>
      <c r="D12" s="173">
        <v>0.4</v>
      </c>
      <c r="E12" s="117" t="s">
        <v>19</v>
      </c>
      <c r="F12" s="116">
        <v>0.2</v>
      </c>
      <c r="G12" s="117" t="s">
        <v>28</v>
      </c>
      <c r="H12" s="118"/>
      <c r="I12" s="170">
        <f>IF(F12=1, H12, SUMPRODUCT(H12:H16, F12:F16))</f>
        <v>0</v>
      </c>
      <c r="J12" s="170">
        <f>SUMIF(H12:H16, "&lt;&gt;", F12:F16) / SUMIF(F12:F16, "&lt;&gt;")</f>
        <v>0.16700000000000001</v>
      </c>
      <c r="K12" s="161">
        <f>IFERROR(I12/J12, "No grades yet")</f>
        <v>0</v>
      </c>
      <c r="L12" s="161">
        <f>IFERROR(IF(J12 = 1, "Completed module", IF(((70 - I12) / (1 - J12)) &gt; 100, "Unattainable", IF(((70 - I12) / (1 - J12)) &lt; 0, "Already attained", ((70 - I12) / (1 - J12))))), "-")</f>
        <v>84.033613445378151</v>
      </c>
      <c r="M12" s="161">
        <f>IFERROR(IF(J12 = 1, "Completed module", IF(((60 - I12) / (1 - J12)) &gt; 100, "Unattainable", IF(((60 - I12) / (1 - J12)) &lt; 0, "Already attained", ((60 - I12) / (1 - J12))))), "-")</f>
        <v>72.02881152460985</v>
      </c>
      <c r="N12" s="134">
        <f>IFERROR(IF(J12 = 1, "Completed module", IF(((50 - I12) / (1 - J12)) &gt; 100, "Unattainable", IF(((50 - I12) / (1 - J12)) &lt; 0, "Already attained", ((50 - I12) / (1 - J12))))), "-")</f>
        <v>60.024009603841542</v>
      </c>
      <c r="O12" s="157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>
      <c r="A13" s="182"/>
      <c r="B13" s="185"/>
      <c r="C13" s="187"/>
      <c r="D13" s="174"/>
      <c r="E13" s="113" t="s">
        <v>19</v>
      </c>
      <c r="F13" s="112">
        <v>0.25</v>
      </c>
      <c r="G13" s="113" t="s">
        <v>29</v>
      </c>
      <c r="H13" s="114"/>
      <c r="I13" s="171"/>
      <c r="J13" s="171"/>
      <c r="K13" s="162"/>
      <c r="L13" s="162"/>
      <c r="M13" s="162"/>
      <c r="N13" s="135"/>
      <c r="O13" s="159"/>
    </row>
    <row r="14" spans="1:15" ht="13.2">
      <c r="A14" s="182"/>
      <c r="B14" s="185"/>
      <c r="C14" s="187"/>
      <c r="D14" s="174"/>
      <c r="E14" s="113" t="s">
        <v>22</v>
      </c>
      <c r="F14" s="125">
        <v>0.13300000000000001</v>
      </c>
      <c r="G14" s="113" t="s">
        <v>30</v>
      </c>
      <c r="H14" s="114"/>
      <c r="I14" s="171"/>
      <c r="J14" s="171"/>
      <c r="K14" s="162"/>
      <c r="L14" s="162"/>
      <c r="M14" s="162"/>
      <c r="N14" s="135"/>
      <c r="O14" s="159"/>
    </row>
    <row r="15" spans="1:15" ht="13.2">
      <c r="A15" s="182"/>
      <c r="B15" s="185"/>
      <c r="C15" s="187"/>
      <c r="D15" s="174"/>
      <c r="E15" s="113" t="s">
        <v>31</v>
      </c>
      <c r="F15" s="112">
        <v>0.25</v>
      </c>
      <c r="G15" s="113" t="s">
        <v>31</v>
      </c>
      <c r="H15" s="114"/>
      <c r="I15" s="171"/>
      <c r="J15" s="171"/>
      <c r="K15" s="162"/>
      <c r="L15" s="162"/>
      <c r="M15" s="162"/>
      <c r="N15" s="135"/>
      <c r="O15" s="159"/>
    </row>
    <row r="16" spans="1:15" ht="13.8" thickBot="1">
      <c r="A16" s="183"/>
      <c r="B16" s="186"/>
      <c r="C16" s="188"/>
      <c r="D16" s="175"/>
      <c r="E16" s="122" t="s">
        <v>13</v>
      </c>
      <c r="F16" s="130">
        <v>0.16700000000000001</v>
      </c>
      <c r="G16" s="122" t="s">
        <v>32</v>
      </c>
      <c r="H16" s="124">
        <v>0</v>
      </c>
      <c r="I16" s="172"/>
      <c r="J16" s="172"/>
      <c r="K16" s="163"/>
      <c r="L16" s="163"/>
      <c r="M16" s="163"/>
      <c r="N16" s="136"/>
      <c r="O16" s="158"/>
    </row>
    <row r="17" spans="1:15" ht="13.8" thickTop="1">
      <c r="A17" s="179" t="s">
        <v>142</v>
      </c>
      <c r="B17" s="164" t="s">
        <v>33</v>
      </c>
      <c r="C17" s="167">
        <v>15</v>
      </c>
      <c r="D17" s="173">
        <v>0.4</v>
      </c>
      <c r="E17" s="117" t="s">
        <v>19</v>
      </c>
      <c r="F17" s="116">
        <v>0.3</v>
      </c>
      <c r="G17" s="117" t="s">
        <v>19</v>
      </c>
      <c r="H17" s="118"/>
      <c r="I17" s="170">
        <f>IF(F17=1, H17, SUMPRODUCT(H17:H23, F17:F23))</f>
        <v>23.9</v>
      </c>
      <c r="J17" s="170">
        <f>SUMIF(H17:H23, "&lt;&gt;", F17:F23) / SUMIF(F17:F23, "&lt;&gt;")</f>
        <v>0.55000000000000004</v>
      </c>
      <c r="K17" s="161">
        <f>IFERROR(I17/J17, "No grades yet")</f>
        <v>43.454545454545446</v>
      </c>
      <c r="L17" s="161" t="str">
        <f>IFERROR(IF(J17 = 1, "Completed module", IF(((70 - I17) / (1 - J17)) &gt; 100, "Unattainable", IF(((70 - I17) / (1 - J17)) &lt; 0, "Already attained", ((70 - I17) / (1 - J17))))), "-")</f>
        <v>Unattainable</v>
      </c>
      <c r="M17" s="161">
        <f>IFERROR(IF(J17 = 1, "Completed module", IF(((60 - I17) / (1 - J17)) &gt; 100, "Unattainable", IF(((60 - I17) / (1 - J17)) &lt; 0, "Already attained", ((60 - I17) / (1 - J17))))), "-")</f>
        <v>80.222222222222229</v>
      </c>
      <c r="N17" s="134">
        <f>IFERROR(IF(J17 = 1, "Completed module", IF(((50 - I17) / (1 - J17)) &gt; 100, "Unattainable", IF(((50 - I17) / (1 - J17)) &lt; 0, "Already attained", ((50 - I17) / (1 - J17))))), "-")</f>
        <v>58.000000000000007</v>
      </c>
      <c r="O17" s="157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>
      <c r="A18" s="180"/>
      <c r="B18" s="165"/>
      <c r="C18" s="168"/>
      <c r="D18" s="168"/>
      <c r="E18" s="113" t="s">
        <v>22</v>
      </c>
      <c r="F18" s="112">
        <v>0.25</v>
      </c>
      <c r="G18" s="113" t="s">
        <v>22</v>
      </c>
      <c r="H18" s="114">
        <v>32</v>
      </c>
      <c r="I18" s="171"/>
      <c r="J18" s="171"/>
      <c r="K18" s="162"/>
      <c r="L18" s="162"/>
      <c r="M18" s="162"/>
      <c r="N18" s="135"/>
      <c r="O18" s="159"/>
    </row>
    <row r="19" spans="1:15" ht="13.2">
      <c r="A19" s="180"/>
      <c r="B19" s="165"/>
      <c r="C19" s="168"/>
      <c r="D19" s="168"/>
      <c r="E19" s="113" t="s">
        <v>34</v>
      </c>
      <c r="F19" s="125">
        <v>0.17499999999999999</v>
      </c>
      <c r="G19" s="113" t="s">
        <v>34</v>
      </c>
      <c r="H19" s="114">
        <v>43</v>
      </c>
      <c r="I19" s="171"/>
      <c r="J19" s="171"/>
      <c r="K19" s="162"/>
      <c r="L19" s="162"/>
      <c r="M19" s="162"/>
      <c r="N19" s="135"/>
      <c r="O19" s="159"/>
    </row>
    <row r="20" spans="1:15" ht="13.2">
      <c r="A20" s="180"/>
      <c r="B20" s="165"/>
      <c r="C20" s="168"/>
      <c r="D20" s="168"/>
      <c r="E20" s="113" t="s">
        <v>31</v>
      </c>
      <c r="F20" s="125">
        <v>7.4999999999999997E-2</v>
      </c>
      <c r="G20" s="113" t="s">
        <v>31</v>
      </c>
      <c r="H20" s="114"/>
      <c r="I20" s="171"/>
      <c r="J20" s="171"/>
      <c r="K20" s="162"/>
      <c r="L20" s="162"/>
      <c r="M20" s="162"/>
      <c r="N20" s="135"/>
      <c r="O20" s="159"/>
    </row>
    <row r="21" spans="1:15" ht="13.2">
      <c r="A21" s="180"/>
      <c r="B21" s="165"/>
      <c r="C21" s="168"/>
      <c r="D21" s="168"/>
      <c r="E21" s="113" t="s">
        <v>31</v>
      </c>
      <c r="F21" s="125">
        <v>0.125</v>
      </c>
      <c r="G21" s="113" t="s">
        <v>35</v>
      </c>
      <c r="H21" s="114">
        <v>67</v>
      </c>
      <c r="I21" s="171"/>
      <c r="J21" s="171"/>
      <c r="K21" s="162"/>
      <c r="L21" s="162"/>
      <c r="M21" s="162"/>
      <c r="N21" s="135"/>
      <c r="O21" s="159"/>
    </row>
    <row r="22" spans="1:15" ht="13.2">
      <c r="A22" s="180"/>
      <c r="B22" s="165"/>
      <c r="C22" s="168"/>
      <c r="D22" s="168"/>
      <c r="E22" s="113" t="s">
        <v>31</v>
      </c>
      <c r="F22" s="112">
        <v>0.05</v>
      </c>
      <c r="G22" s="113" t="s">
        <v>36</v>
      </c>
      <c r="H22" s="114"/>
      <c r="I22" s="171"/>
      <c r="J22" s="171"/>
      <c r="K22" s="162"/>
      <c r="L22" s="162"/>
      <c r="M22" s="162"/>
      <c r="N22" s="135"/>
      <c r="O22" s="159"/>
    </row>
    <row r="23" spans="1:15" ht="13.8" thickBot="1">
      <c r="A23" s="181"/>
      <c r="B23" s="166"/>
      <c r="C23" s="169"/>
      <c r="D23" s="169"/>
      <c r="E23" s="122" t="s">
        <v>31</v>
      </c>
      <c r="F23" s="130">
        <v>2.5000000000000001E-2</v>
      </c>
      <c r="G23" s="122" t="s">
        <v>37</v>
      </c>
      <c r="H23" s="124"/>
      <c r="I23" s="172"/>
      <c r="J23" s="172"/>
      <c r="K23" s="163"/>
      <c r="L23" s="163"/>
      <c r="M23" s="163"/>
      <c r="N23" s="136"/>
      <c r="O23" s="158"/>
    </row>
    <row r="24" spans="1:15" ht="13.8" thickTop="1">
      <c r="A24" s="179" t="s">
        <v>143</v>
      </c>
      <c r="B24" s="164" t="s">
        <v>38</v>
      </c>
      <c r="C24" s="167">
        <v>5</v>
      </c>
      <c r="D24" s="173">
        <v>0.4</v>
      </c>
      <c r="E24" s="117" t="s">
        <v>39</v>
      </c>
      <c r="F24" s="116">
        <v>0.5</v>
      </c>
      <c r="G24" s="117" t="s">
        <v>40</v>
      </c>
      <c r="H24" s="118">
        <v>60</v>
      </c>
      <c r="I24" s="161">
        <f>IF(F24=1, H24, SUMPRODUCT(H24:H25, F24:F25))</f>
        <v>71.25</v>
      </c>
      <c r="J24" s="161">
        <f>SUMIF(H24:H25, "&lt;&gt;", F24:F25) / SUMIF(F24:F25, "&lt;&gt;")</f>
        <v>1</v>
      </c>
      <c r="K24" s="161">
        <f>IFERROR(I24/J24, "No grades yet")</f>
        <v>71.25</v>
      </c>
      <c r="L24" s="161" t="str">
        <f>IFERROR(IF(J24 = 1, "Completed module", IF(((70 - I24) / (1 - J24)) &gt; 100, "Unattainable", IF(((70 - I24) / (1 - J24)) &lt; 0, "Already attained", ((70 - I24) / (1 - J24))))), "-")</f>
        <v>Completed module</v>
      </c>
      <c r="M24" s="161" t="str">
        <f>IFERROR(IF(J24 = 1, "Completed module", IF(((60 - I24) / (1 - J24)) &gt; 100, "Unattainable", IF(((60 - I24) / (1 - J24)) &lt; 0, "Already attained", ((60 - I24) / (1 - J24))))), "-")</f>
        <v>Completed module</v>
      </c>
      <c r="N24" s="134" t="str">
        <f>IFERROR(IF(J24 = 1, "Completed module", IF(((50 - I24) / (1 - J24)) &gt; 100, "Unattainable", IF(((50 - I24) / (1 - J24)) &lt; 0, "Already attained", ((50 - I24) / (1 - J24))))), "-")</f>
        <v>Completed module</v>
      </c>
      <c r="O24" s="157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>
      <c r="A25" s="184"/>
      <c r="B25" s="177"/>
      <c r="C25" s="178"/>
      <c r="D25" s="178"/>
      <c r="E25" s="119" t="s">
        <v>39</v>
      </c>
      <c r="F25" s="120">
        <v>0.5</v>
      </c>
      <c r="G25" s="119" t="s">
        <v>41</v>
      </c>
      <c r="H25" s="121">
        <v>82.5</v>
      </c>
      <c r="I25" s="176"/>
      <c r="J25" s="176"/>
      <c r="K25" s="176"/>
      <c r="L25" s="176"/>
      <c r="M25" s="176"/>
      <c r="N25" s="149"/>
      <c r="O25" s="160"/>
    </row>
    <row r="26" spans="1:15" ht="15.75" customHeight="1" thickTop="1"/>
  </sheetData>
  <mergeCells count="55">
    <mergeCell ref="D24:D25"/>
    <mergeCell ref="A2:A5"/>
    <mergeCell ref="A6:A11"/>
    <mergeCell ref="A12:A16"/>
    <mergeCell ref="A17:A23"/>
    <mergeCell ref="A24:A25"/>
    <mergeCell ref="B12:B16"/>
    <mergeCell ref="C12:C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I12:I16"/>
    <mergeCell ref="J12:J16"/>
    <mergeCell ref="K12:K16"/>
    <mergeCell ref="D12:D16"/>
    <mergeCell ref="L2:L5"/>
    <mergeCell ref="L12:L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</mergeCells>
  <conditionalFormatting sqref="H2:H25 K2:K25">
    <cfRule type="cellIs" dxfId="461" priority="3" operator="greaterThanOrEqual">
      <formula>70</formula>
    </cfRule>
    <cfRule type="cellIs" dxfId="460" priority="4" operator="between">
      <formula>70</formula>
      <formula>60</formula>
    </cfRule>
    <cfRule type="cellIs" dxfId="459" priority="5" operator="between">
      <formula>60</formula>
      <formula>50</formula>
    </cfRule>
    <cfRule type="cellIs" dxfId="458" priority="6" operator="between">
      <formula>40</formula>
      <formula>50</formula>
    </cfRule>
    <cfRule type="cellIs" dxfId="457" priority="7" operator="lessThan">
      <formula>40</formula>
    </cfRule>
  </conditionalFormatting>
  <conditionalFormatting sqref="H2:H25">
    <cfRule type="containsBlanks" dxfId="456" priority="2">
      <formula>LEN(TRIM(H2))=0</formula>
    </cfRule>
  </conditionalFormatting>
  <conditionalFormatting sqref="K2:K25">
    <cfRule type="containsText" dxfId="455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zoomScale="74" zoomScaleNormal="115" workbookViewId="0">
      <selection activeCell="A20" sqref="A20:B20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  <col min="15" max="15" width="26" customWidth="1"/>
    <col min="16" max="16" width="23.44140625" customWidth="1"/>
  </cols>
  <sheetData>
    <row r="1" spans="1:16" ht="15.75" customHeight="1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5.75" customHeight="1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26" t="s">
        <v>67</v>
      </c>
      <c r="B3" s="26" t="s">
        <v>3</v>
      </c>
      <c r="C3" s="27" t="s">
        <v>0</v>
      </c>
      <c r="D3" s="27" t="s">
        <v>93</v>
      </c>
      <c r="E3" s="27" t="s">
        <v>94</v>
      </c>
      <c r="F3" s="233" t="s">
        <v>95</v>
      </c>
      <c r="G3" s="234"/>
      <c r="H3" s="235"/>
      <c r="I3" s="27" t="s">
        <v>4</v>
      </c>
      <c r="J3" s="27" t="s">
        <v>5</v>
      </c>
      <c r="K3" s="27" t="s">
        <v>6</v>
      </c>
      <c r="L3" s="28" t="s">
        <v>7</v>
      </c>
      <c r="M3" s="27" t="s">
        <v>8</v>
      </c>
      <c r="N3" s="29" t="s">
        <v>9</v>
      </c>
      <c r="O3" s="85" t="s">
        <v>237</v>
      </c>
      <c r="P3" s="85" t="s">
        <v>238</v>
      </c>
    </row>
    <row r="4" spans="1:16" ht="13.2" customHeight="1">
      <c r="A4" s="223" t="s">
        <v>68</v>
      </c>
      <c r="B4" s="226" t="s">
        <v>69</v>
      </c>
      <c r="C4" s="228">
        <v>20</v>
      </c>
      <c r="D4" s="228">
        <v>36.299999999999997</v>
      </c>
      <c r="E4" s="230">
        <v>0.4</v>
      </c>
      <c r="F4" s="18" t="s">
        <v>11</v>
      </c>
      <c r="G4" s="72">
        <v>0.15</v>
      </c>
      <c r="H4" s="18" t="s">
        <v>70</v>
      </c>
      <c r="I4" s="30"/>
      <c r="J4" s="213">
        <f xml:space="preserve"> SUMPRODUCT(I4:I8,G4:G8)</f>
        <v>5</v>
      </c>
      <c r="K4" s="218">
        <f>SUMIF(I4:I8, "&lt;&gt;", G4:G8) / SUMIF(G4:G8, "&lt;&gt;")</f>
        <v>0.1</v>
      </c>
      <c r="L4" s="219">
        <f>IFERROR(J4/K4, "No grades yet")</f>
        <v>50</v>
      </c>
      <c r="M4" s="213">
        <f>IF(K4 = 1, "Completed module", IF(((70 - J4) / (1 - K4)) &gt; 100, "Unattainable", IF(((70 - J4) / (1 - K4)) &lt; 0, "Already attained", ((70 - J4) / (1 - K4)))))</f>
        <v>72.222222222222214</v>
      </c>
      <c r="N4" s="215">
        <f>IF(K4 = 1, "Completed module", IF(((60 - J4) / (1 - K4)) &gt; 100, "Unattainable", IF(((60 - J4) / (1 - K4)) &lt; 0, "Already attained", ((60 - J4) / (1 - K4)))))</f>
        <v>61.111111111111107</v>
      </c>
    </row>
    <row r="5" spans="1:16" ht="13.2">
      <c r="A5" s="224"/>
      <c r="B5" s="199"/>
      <c r="C5" s="200"/>
      <c r="D5" s="200"/>
      <c r="E5" s="200"/>
      <c r="F5" s="19" t="s">
        <v>11</v>
      </c>
      <c r="G5" s="73">
        <v>0.1</v>
      </c>
      <c r="H5" s="20" t="s">
        <v>71</v>
      </c>
      <c r="I5" s="31">
        <v>50</v>
      </c>
      <c r="J5" s="201"/>
      <c r="K5" s="203"/>
      <c r="L5" s="206"/>
      <c r="M5" s="208"/>
      <c r="N5" s="216"/>
    </row>
    <row r="6" spans="1:16" ht="13.2">
      <c r="A6" s="224"/>
      <c r="B6" s="199"/>
      <c r="C6" s="200"/>
      <c r="D6" s="200"/>
      <c r="E6" s="200"/>
      <c r="F6" s="20" t="s">
        <v>13</v>
      </c>
      <c r="G6" s="73">
        <v>0.2</v>
      </c>
      <c r="H6" s="32" t="s">
        <v>72</v>
      </c>
      <c r="I6" s="31"/>
      <c r="J6" s="201"/>
      <c r="K6" s="203"/>
      <c r="L6" s="206"/>
      <c r="M6" s="208"/>
      <c r="N6" s="216"/>
    </row>
    <row r="7" spans="1:16" ht="13.2">
      <c r="A7" s="224"/>
      <c r="B7" s="199"/>
      <c r="C7" s="200"/>
      <c r="D7" s="200"/>
      <c r="E7" s="200"/>
      <c r="F7" s="20" t="s">
        <v>11</v>
      </c>
      <c r="G7" s="73">
        <v>0.4</v>
      </c>
      <c r="H7" s="20" t="s">
        <v>17</v>
      </c>
      <c r="I7" s="33"/>
      <c r="J7" s="201"/>
      <c r="K7" s="203"/>
      <c r="L7" s="206"/>
      <c r="M7" s="208"/>
      <c r="N7" s="216"/>
    </row>
    <row r="8" spans="1:16" ht="13.8" thickBot="1">
      <c r="A8" s="225"/>
      <c r="B8" s="227"/>
      <c r="C8" s="229"/>
      <c r="D8" s="229"/>
      <c r="E8" s="229"/>
      <c r="F8" s="21" t="s">
        <v>73</v>
      </c>
      <c r="G8" s="73">
        <v>0.15</v>
      </c>
      <c r="H8" s="32" t="s">
        <v>74</v>
      </c>
      <c r="I8" s="34"/>
      <c r="J8" s="220"/>
      <c r="K8" s="221"/>
      <c r="L8" s="222"/>
      <c r="M8" s="214"/>
      <c r="N8" s="217"/>
    </row>
    <row r="9" spans="1:16" ht="13.2" customHeight="1">
      <c r="A9" s="223" t="s">
        <v>75</v>
      </c>
      <c r="B9" s="226" t="s">
        <v>76</v>
      </c>
      <c r="C9" s="228">
        <v>5</v>
      </c>
      <c r="D9" s="228">
        <v>9.1</v>
      </c>
      <c r="E9" s="230">
        <v>0.4</v>
      </c>
      <c r="F9" s="18" t="s">
        <v>19</v>
      </c>
      <c r="G9" s="72">
        <v>0.8</v>
      </c>
      <c r="H9" s="18" t="s">
        <v>43</v>
      </c>
      <c r="I9" s="30"/>
      <c r="J9" s="213">
        <f>SUMPRODUCT(I9:I10, G9:G10)</f>
        <v>16</v>
      </c>
      <c r="K9" s="218">
        <f>SUMIF(I9:I10, "&lt;&gt;", G9:G10) / SUMIF(G9:G10, "&lt;&gt;")</f>
        <v>0.2</v>
      </c>
      <c r="L9" s="219">
        <f>IFERROR(J9/K9, "No grades yet")</f>
        <v>80</v>
      </c>
      <c r="M9" s="213">
        <f>IF(K9 = 1, "Completed module", IF(((70 - J9) / (1 - K9)) &gt; 100, "Unattainable", IF(((70 - J9) / (1 - K9)) &lt; 0, "Already attained", ((70 - J9) / (1 - K9)))))</f>
        <v>67.5</v>
      </c>
      <c r="N9" s="215">
        <f>IF(K9 = 1, "Completed module", IF(((60 - J9) / (1 - K9)) &gt; 100, "Unattainable", IF(((60 - J9) / (1 - K9)) &lt; 0, "Already attained", ((60 - J9) / (1 - K9)))))</f>
        <v>55</v>
      </c>
    </row>
    <row r="10" spans="1:16" ht="13.8" thickBot="1">
      <c r="A10" s="225"/>
      <c r="B10" s="227"/>
      <c r="C10" s="229"/>
      <c r="D10" s="229"/>
      <c r="E10" s="229"/>
      <c r="F10" s="20" t="s">
        <v>34</v>
      </c>
      <c r="G10" s="73">
        <v>0.2</v>
      </c>
      <c r="H10" s="20" t="s">
        <v>77</v>
      </c>
      <c r="I10" s="31">
        <v>80</v>
      </c>
      <c r="J10" s="201"/>
      <c r="K10" s="208"/>
      <c r="L10" s="206"/>
      <c r="M10" s="208"/>
      <c r="N10" s="216"/>
    </row>
    <row r="11" spans="1:16" ht="13.2" customHeight="1">
      <c r="A11" s="223" t="s">
        <v>78</v>
      </c>
      <c r="B11" s="226" t="s">
        <v>79</v>
      </c>
      <c r="C11" s="213">
        <v>5</v>
      </c>
      <c r="D11" s="213">
        <v>9.1</v>
      </c>
      <c r="E11" s="230">
        <v>0.4</v>
      </c>
      <c r="F11" s="18" t="s">
        <v>19</v>
      </c>
      <c r="G11" s="79">
        <v>0.67</v>
      </c>
      <c r="H11" s="18" t="s">
        <v>43</v>
      </c>
      <c r="I11" s="30"/>
      <c r="J11" s="213">
        <f>SUMPRODUCT(I11:I12, G11:G12)</f>
        <v>0</v>
      </c>
      <c r="K11" s="218">
        <f>SUMIF(I11:I12, "&lt;&gt;", G11:G12) / SUMIF(G11:G12, "&lt;&gt;")</f>
        <v>0</v>
      </c>
      <c r="L11" s="219" t="str">
        <f>IFERROR(J11/K11, "No grades yet")</f>
        <v>No grades yet</v>
      </c>
      <c r="M11" s="213">
        <f>IF(K11 = 1, "Completed module", IF(((70 - J11) / (1 - K11)) &gt; 100, "Unattainable", IF(((70 - J11) / (1 - K11)) &lt; 0, "Already attained", ((70 - J11) / (1 - K11)))))</f>
        <v>70</v>
      </c>
      <c r="N11" s="215">
        <f>IF(K11 = 1, "Completed module", IF(((60 - J11) / (1 - K11)) &gt; 100, "Unattainable", IF(((60 - J11) / (1 - K11)) &lt; 0, "Already attained", ((60 - J11) / (1 - K11)))))</f>
        <v>60</v>
      </c>
    </row>
    <row r="12" spans="1:16" ht="13.8" thickBot="1">
      <c r="A12" s="225"/>
      <c r="B12" s="227"/>
      <c r="C12" s="220"/>
      <c r="D12" s="220"/>
      <c r="E12" s="220"/>
      <c r="F12" s="20" t="s">
        <v>11</v>
      </c>
      <c r="G12" s="80">
        <v>0.33</v>
      </c>
      <c r="H12" s="20" t="s">
        <v>80</v>
      </c>
      <c r="I12" s="31"/>
      <c r="J12" s="208"/>
      <c r="K12" s="208"/>
      <c r="L12" s="206"/>
      <c r="M12" s="208"/>
      <c r="N12" s="216"/>
    </row>
    <row r="13" spans="1:16" ht="13.2">
      <c r="A13" s="223" t="s">
        <v>81</v>
      </c>
      <c r="B13" s="226" t="s">
        <v>82</v>
      </c>
      <c r="C13" s="213">
        <v>5</v>
      </c>
      <c r="D13" s="213">
        <v>9.1</v>
      </c>
      <c r="E13" s="230">
        <v>0.4</v>
      </c>
      <c r="F13" s="18" t="s">
        <v>19</v>
      </c>
      <c r="G13" s="79">
        <v>0.8</v>
      </c>
      <c r="H13" s="18" t="s">
        <v>43</v>
      </c>
      <c r="I13" s="30"/>
      <c r="J13" s="236">
        <f>SUMPRODUCT(I13:I15, G13:G15)</f>
        <v>0</v>
      </c>
      <c r="K13" s="218">
        <f>SUMIF(I13:I15, "&lt;&gt;", G13:G15) / SUMIF(G13:G15, "&lt;&gt;")</f>
        <v>0</v>
      </c>
      <c r="L13" s="219" t="str">
        <f>IFERROR(J13/K13, "No grades yet")</f>
        <v>No grades yet</v>
      </c>
      <c r="M13" s="213">
        <f>IF(K13 = 1, "Completed module", IF(((70 - J13) / (1 - K13)) &gt; 100, "Unattainable", IF(((70 - J13) / (1 - K13)) &lt; 0, "Already attained", ((70 - J13) / (1 - K13)))))</f>
        <v>70</v>
      </c>
      <c r="N13" s="215">
        <f>IF(K13 = 1, "Completed module", IF(((60 - J13) / (1 - K13)) &gt; 100, "Unattainable", IF(((60 - J13) / (1 - K13)) &lt; 0, "Already attained", ((60 - J13) / (1 - K13)))))</f>
        <v>60</v>
      </c>
      <c r="P13" s="39"/>
    </row>
    <row r="14" spans="1:16" ht="13.2">
      <c r="A14" s="224"/>
      <c r="B14" s="199"/>
      <c r="C14" s="201"/>
      <c r="D14" s="201"/>
      <c r="E14" s="201"/>
      <c r="F14" s="19" t="s">
        <v>34</v>
      </c>
      <c r="G14" s="80">
        <v>0.1</v>
      </c>
      <c r="H14" s="20" t="s">
        <v>83</v>
      </c>
      <c r="I14" s="31"/>
      <c r="J14" s="237"/>
      <c r="K14" s="208"/>
      <c r="L14" s="206"/>
      <c r="M14" s="208"/>
      <c r="N14" s="216"/>
      <c r="P14" s="39"/>
    </row>
    <row r="15" spans="1:16" ht="13.8" thickBot="1">
      <c r="A15" s="224"/>
      <c r="B15" s="199"/>
      <c r="C15" s="201"/>
      <c r="D15" s="201"/>
      <c r="E15" s="201"/>
      <c r="F15" s="20" t="s">
        <v>34</v>
      </c>
      <c r="G15" s="80">
        <v>0.1</v>
      </c>
      <c r="H15" s="32" t="s">
        <v>84</v>
      </c>
      <c r="I15" s="31"/>
      <c r="J15" s="237"/>
      <c r="K15" s="208"/>
      <c r="L15" s="206"/>
      <c r="M15" s="208"/>
      <c r="N15" s="216"/>
      <c r="P15" s="39"/>
    </row>
    <row r="16" spans="1:16" ht="15.75" customHeight="1">
      <c r="A16" s="223" t="s">
        <v>85</v>
      </c>
      <c r="B16" s="226" t="s">
        <v>86</v>
      </c>
      <c r="C16" s="228">
        <v>5</v>
      </c>
      <c r="D16" s="228">
        <v>9.1</v>
      </c>
      <c r="E16" s="230">
        <v>0.4</v>
      </c>
      <c r="F16" s="18" t="s">
        <v>19</v>
      </c>
      <c r="G16" s="72">
        <v>0.75</v>
      </c>
      <c r="H16" s="18" t="s">
        <v>43</v>
      </c>
      <c r="I16" s="30"/>
      <c r="J16" s="213">
        <f>SUMPRODUCT(I16:I17, G16:G17)</f>
        <v>0</v>
      </c>
      <c r="K16" s="218">
        <f>SUMIF(I16:I18, "&lt;&gt;", G16:G18) / SUMIF(G16:G18, "&lt;&gt;")</f>
        <v>0</v>
      </c>
      <c r="L16" s="219" t="str">
        <f>IFERROR(J16/K16, "No grades yet")</f>
        <v>No grades yet</v>
      </c>
      <c r="M16" s="213">
        <f>IF(K16 = 1, "Completed module", IF(((70 - J16) / (1 - K16)) &gt; 100, "Unattainable", IF(((70 - J16) / (1 - K16)) &lt; 0, "Already attained", ((70 - J16) / (1 - K16)))))</f>
        <v>70</v>
      </c>
      <c r="N16" s="215">
        <f>IF(K16 = 1, "Completed module", IF(((60 - J16) / (1 - K16)) &gt; 100, "Unattainable", IF(((60 - J16) / (1 - K16)) &lt; 0, "Already attained", ((60 - J16) / (1 - K16)))))</f>
        <v>60</v>
      </c>
      <c r="P16" s="39"/>
    </row>
    <row r="17" spans="1:16" ht="13.2" customHeight="1" thickBot="1">
      <c r="A17" s="224"/>
      <c r="B17" s="199"/>
      <c r="C17" s="200"/>
      <c r="D17" s="200"/>
      <c r="E17" s="200"/>
      <c r="F17" s="16" t="s">
        <v>49</v>
      </c>
      <c r="G17" s="74">
        <v>0.25</v>
      </c>
      <c r="H17" s="17" t="s">
        <v>87</v>
      </c>
      <c r="I17" s="33"/>
      <c r="J17" s="201"/>
      <c r="K17" s="208"/>
      <c r="L17" s="206"/>
      <c r="M17" s="208"/>
      <c r="N17" s="216"/>
      <c r="P17" s="39"/>
    </row>
    <row r="18" spans="1:16" ht="15.75" customHeight="1" thickBot="1">
      <c r="A18" s="9" t="s">
        <v>88</v>
      </c>
      <c r="B18" s="10" t="s">
        <v>89</v>
      </c>
      <c r="C18" s="11">
        <v>5</v>
      </c>
      <c r="D18" s="11">
        <v>0</v>
      </c>
      <c r="E18" s="12" t="s">
        <v>90</v>
      </c>
      <c r="F18" s="22" t="s">
        <v>91</v>
      </c>
      <c r="G18" s="81" t="s">
        <v>92</v>
      </c>
      <c r="H18" s="35" t="s">
        <v>92</v>
      </c>
      <c r="I18" s="36"/>
      <c r="J18" s="13"/>
      <c r="K18" s="14"/>
      <c r="L18" s="14"/>
      <c r="M18" s="13"/>
      <c r="N18" s="15"/>
      <c r="P18" s="39"/>
    </row>
    <row r="19" spans="1:16" ht="15.7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6" ht="15.6" customHeight="1">
      <c r="A20" s="231" t="s">
        <v>96</v>
      </c>
      <c r="B20" s="232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6" ht="15.6" customHeight="1" thickBot="1">
      <c r="A21" s="37"/>
      <c r="B21" s="38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6" ht="13.8" thickBot="1">
      <c r="A22" s="26" t="s">
        <v>67</v>
      </c>
      <c r="B22" s="26" t="s">
        <v>3</v>
      </c>
      <c r="C22" s="27" t="s">
        <v>0</v>
      </c>
      <c r="D22" s="27" t="s">
        <v>93</v>
      </c>
      <c r="E22" s="27" t="s">
        <v>94</v>
      </c>
      <c r="F22" s="210" t="s">
        <v>95</v>
      </c>
      <c r="G22" s="211"/>
      <c r="H22" s="212"/>
      <c r="I22" s="27" t="s">
        <v>4</v>
      </c>
      <c r="J22" s="27" t="s">
        <v>5</v>
      </c>
      <c r="K22" s="27" t="s">
        <v>6</v>
      </c>
      <c r="L22" s="28" t="s">
        <v>7</v>
      </c>
      <c r="M22" s="27" t="s">
        <v>8</v>
      </c>
      <c r="N22" s="29" t="s">
        <v>9</v>
      </c>
      <c r="O22" s="85" t="s">
        <v>237</v>
      </c>
      <c r="P22" s="85" t="s">
        <v>238</v>
      </c>
    </row>
    <row r="23" spans="1:16" ht="14.4" customHeight="1">
      <c r="A23" s="189" t="s">
        <v>97</v>
      </c>
      <c r="B23" s="191" t="s">
        <v>98</v>
      </c>
      <c r="C23" s="193">
        <v>5</v>
      </c>
      <c r="D23" s="193">
        <v>9.1</v>
      </c>
      <c r="E23" s="195">
        <v>0.4</v>
      </c>
      <c r="F23" s="46" t="s">
        <v>19</v>
      </c>
      <c r="G23" s="75">
        <v>0.82</v>
      </c>
      <c r="H23" s="46" t="s">
        <v>43</v>
      </c>
      <c r="I23" s="47">
        <v>54</v>
      </c>
      <c r="J23" s="196">
        <f>SUMPRODUCT(I23:I26, G23:G26)</f>
        <v>55.919999999999987</v>
      </c>
      <c r="K23" s="202">
        <f>SUMIF(I23:I26, "&lt;&gt;", G23:G26) / SUMIF(G23:G26, "&lt;&gt;")</f>
        <v>1</v>
      </c>
      <c r="L23" s="205">
        <f>IFERROR(J23/K23, "No grades yet")</f>
        <v>55.919999999999987</v>
      </c>
      <c r="M23" s="196" t="str">
        <f>IF(K23 = 1, "Completed module", IF(((70 - J23) / (1 - K23)) &gt; 100, "Unattainable", IF(((70 - J23) / (1 - K23)) &lt; 0, "Already attained", ((70 - J23) / (1 - K23)))))</f>
        <v>Completed module</v>
      </c>
      <c r="N23" s="238" t="str">
        <f>IF(K23 = 1, "Completed module", IF(((60 - J23) / (1 - K23)) &gt; 100, "Unattainable", IF(((60 - J23) / (1 - K23)) &lt; 0, "Already attained", ((60 - J23) / (1 - K23)))))</f>
        <v>Completed module</v>
      </c>
    </row>
    <row r="24" spans="1:16" ht="15.75" customHeight="1">
      <c r="A24" s="198"/>
      <c r="B24" s="199"/>
      <c r="C24" s="200"/>
      <c r="D24" s="200"/>
      <c r="E24" s="200"/>
      <c r="F24" s="19" t="s">
        <v>31</v>
      </c>
      <c r="G24" s="73">
        <v>0.06</v>
      </c>
      <c r="H24" s="20" t="s">
        <v>99</v>
      </c>
      <c r="I24" s="31">
        <v>39</v>
      </c>
      <c r="J24" s="201"/>
      <c r="K24" s="203"/>
      <c r="L24" s="206"/>
      <c r="M24" s="208"/>
      <c r="N24" s="239"/>
    </row>
    <row r="25" spans="1:16" ht="15.75" customHeight="1">
      <c r="A25" s="198"/>
      <c r="B25" s="199"/>
      <c r="C25" s="200"/>
      <c r="D25" s="200"/>
      <c r="E25" s="200"/>
      <c r="F25" s="20" t="s">
        <v>31</v>
      </c>
      <c r="G25" s="73">
        <v>0.06</v>
      </c>
      <c r="H25" s="32" t="s">
        <v>100</v>
      </c>
      <c r="I25" s="31">
        <v>65</v>
      </c>
      <c r="J25" s="201"/>
      <c r="K25" s="203"/>
      <c r="L25" s="206"/>
      <c r="M25" s="208"/>
      <c r="N25" s="239"/>
    </row>
    <row r="26" spans="1:16" ht="15.75" customHeight="1" thickBot="1">
      <c r="A26" s="190"/>
      <c r="B26" s="192"/>
      <c r="C26" s="194"/>
      <c r="D26" s="194"/>
      <c r="E26" s="194"/>
      <c r="F26" s="16" t="s">
        <v>31</v>
      </c>
      <c r="G26" s="76">
        <v>0.06</v>
      </c>
      <c r="H26" s="16" t="s">
        <v>101</v>
      </c>
      <c r="I26" s="41">
        <v>90</v>
      </c>
      <c r="J26" s="197"/>
      <c r="K26" s="204"/>
      <c r="L26" s="207"/>
      <c r="M26" s="209"/>
      <c r="N26" s="240"/>
    </row>
    <row r="27" spans="1:16" ht="15.75" hidden="1" customHeight="1">
      <c r="A27" s="189" t="s">
        <v>102</v>
      </c>
      <c r="B27" s="191" t="s">
        <v>103</v>
      </c>
      <c r="C27" s="193">
        <v>5</v>
      </c>
      <c r="D27" s="193">
        <v>9.1</v>
      </c>
      <c r="E27" s="195">
        <v>0.4</v>
      </c>
      <c r="F27" s="46" t="s">
        <v>19</v>
      </c>
      <c r="G27" s="75">
        <v>0.8</v>
      </c>
      <c r="H27" s="46" t="s">
        <v>43</v>
      </c>
      <c r="I27" s="47"/>
      <c r="J27" s="196">
        <f>SUMPRODUCT(I27:I28, G27:G28)</f>
        <v>0</v>
      </c>
      <c r="K27" s="202">
        <f>SUMIF(I27:I28, "&lt;&gt;", G27:G28) / SUMIF(G27:G28, "&lt;&gt;")</f>
        <v>0</v>
      </c>
      <c r="L27" s="205" t="str">
        <f>IFERROR(J27/K27, "No grades yet")</f>
        <v>No grades yet</v>
      </c>
      <c r="M27" s="196">
        <f>IF(K27 = 1, "Completed module", IF(((70 - J27) / (1 - K27)) &gt; 100, "Unattainable", IF(((70 - J27) / (1 - K27)) &lt; 0, "Already attained", ((70 - J27) / (1 - K27)))))</f>
        <v>70</v>
      </c>
      <c r="N27" s="238">
        <f>IF(K27 = 1, "Completed module", IF(((60 - J27) / (1 - K27)) &gt; 100, "Unattainable", IF(((60 - J27) / (1 - K27)) &lt; 0, "Already attained", ((60 - J27) / (1 - K27)))))</f>
        <v>60</v>
      </c>
    </row>
    <row r="28" spans="1:16" ht="15.75" hidden="1" customHeight="1" thickBot="1">
      <c r="A28" s="190"/>
      <c r="B28" s="192"/>
      <c r="C28" s="194"/>
      <c r="D28" s="194"/>
      <c r="E28" s="194"/>
      <c r="F28" s="22" t="s">
        <v>49</v>
      </c>
      <c r="G28" s="76">
        <v>0.2</v>
      </c>
      <c r="H28" s="16" t="s">
        <v>49</v>
      </c>
      <c r="I28" s="41"/>
      <c r="J28" s="197"/>
      <c r="K28" s="204"/>
      <c r="L28" s="207"/>
      <c r="M28" s="209"/>
      <c r="N28" s="240"/>
    </row>
    <row r="29" spans="1:16" ht="15.6" hidden="1" customHeight="1">
      <c r="A29" s="189" t="s">
        <v>104</v>
      </c>
      <c r="B29" s="191" t="s">
        <v>105</v>
      </c>
      <c r="C29" s="193">
        <v>5</v>
      </c>
      <c r="D29" s="193">
        <v>9.1</v>
      </c>
      <c r="E29" s="195">
        <v>0.4</v>
      </c>
      <c r="F29" s="46" t="s">
        <v>11</v>
      </c>
      <c r="G29" s="75">
        <v>0.7</v>
      </c>
      <c r="H29" s="46" t="s">
        <v>106</v>
      </c>
      <c r="I29" s="47">
        <v>32</v>
      </c>
      <c r="J29" s="196">
        <f>SUMPRODUCT(I29:I31, G29:G31)</f>
        <v>42.5</v>
      </c>
      <c r="K29" s="202">
        <f>SUMIF(I29:I31, "&lt;&gt;", G29:G31) / SUMIF(G29:G31, "&lt;&gt;")</f>
        <v>1</v>
      </c>
      <c r="L29" s="205">
        <f>IFERROR(J29/K29, "No grades yet")</f>
        <v>42.5</v>
      </c>
      <c r="M29" s="196" t="str">
        <f>IF(K29 = 1, "Completed module", IF(((70 - J29) / (1 - K29)) &gt; 100, "Unattainable", IF(((70 - J29) / (1 - K29)) &lt; 0, "Already attained", ((70 - J29) / (1 - K29)))))</f>
        <v>Completed module</v>
      </c>
      <c r="N29" s="238" t="str">
        <f>IF(K29 = 1, "Completed module", IF(((60 - J29) / (1 - K29)) &gt; 100, "Unattainable", IF(((60 - J29) / (1 - K29)) &lt; 0, "Already attained", ((60 - J29) / (1 - K29)))))</f>
        <v>Completed module</v>
      </c>
    </row>
    <row r="30" spans="1:16" ht="15.75" hidden="1" customHeight="1">
      <c r="A30" s="198"/>
      <c r="B30" s="199"/>
      <c r="C30" s="200"/>
      <c r="D30" s="200"/>
      <c r="E30" s="200"/>
      <c r="F30" s="19" t="s">
        <v>22</v>
      </c>
      <c r="G30" s="73">
        <v>0.15</v>
      </c>
      <c r="H30" s="20" t="s">
        <v>107</v>
      </c>
      <c r="I30" s="31">
        <v>80</v>
      </c>
      <c r="J30" s="201"/>
      <c r="K30" s="203"/>
      <c r="L30" s="206"/>
      <c r="M30" s="208"/>
      <c r="N30" s="239"/>
    </row>
    <row r="31" spans="1:16" ht="15.75" hidden="1" customHeight="1" thickBot="1">
      <c r="A31" s="190"/>
      <c r="B31" s="192"/>
      <c r="C31" s="194"/>
      <c r="D31" s="194"/>
      <c r="E31" s="194"/>
      <c r="F31" s="16" t="s">
        <v>13</v>
      </c>
      <c r="G31" s="76">
        <v>0.15</v>
      </c>
      <c r="H31" s="56" t="s">
        <v>108</v>
      </c>
      <c r="I31" s="41">
        <v>54</v>
      </c>
      <c r="J31" s="197"/>
      <c r="K31" s="204"/>
      <c r="L31" s="207"/>
      <c r="M31" s="209"/>
      <c r="N31" s="240"/>
    </row>
    <row r="32" spans="1:16" ht="21" customHeight="1">
      <c r="A32" s="189" t="s">
        <v>109</v>
      </c>
      <c r="B32" s="191" t="s">
        <v>110</v>
      </c>
      <c r="C32" s="193">
        <v>5</v>
      </c>
      <c r="D32" s="193">
        <v>9.1</v>
      </c>
      <c r="E32" s="195">
        <v>0.4</v>
      </c>
      <c r="F32" s="46" t="s">
        <v>19</v>
      </c>
      <c r="G32" s="75">
        <v>0.6</v>
      </c>
      <c r="H32" s="46" t="s">
        <v>43</v>
      </c>
      <c r="I32" s="47">
        <v>38</v>
      </c>
      <c r="J32" s="196">
        <f>SUMPRODUCT(I32:I33, G32:G33)</f>
        <v>62</v>
      </c>
      <c r="K32" s="202">
        <f>SUMIF(I32:I33, "&lt;&gt;", G32:G33) / SUMIF(G32:G33, "&lt;&gt;")</f>
        <v>1</v>
      </c>
      <c r="L32" s="205">
        <f>IFERROR(J32/K32, "No grades yet")</f>
        <v>62</v>
      </c>
      <c r="M32" s="196" t="str">
        <f>IF(K32 = 1, "Completed module", IF(((70 - J32) / (1 - K32)) &gt; 100, "Unattainable", IF(((70 - J32) / (1 - K32)) &lt; 0, "Already attained", ((70 - J32) / (1 - K32)))))</f>
        <v>Completed module</v>
      </c>
      <c r="N32" s="238" t="str">
        <f>IF(K32 = 1, "Completed module", IF(((60 - J32) / (1 - K32)) &gt; 100, "Unattainable", IF(((60 - J32) / (1 - K32)) &lt; 0, "Already attained", ((60 - J32) / (1 - K32)))))</f>
        <v>Completed module</v>
      </c>
    </row>
    <row r="33" spans="1:14" ht="16.2" customHeight="1" thickBot="1">
      <c r="A33" s="190"/>
      <c r="B33" s="192"/>
      <c r="C33" s="194"/>
      <c r="D33" s="194"/>
      <c r="E33" s="194"/>
      <c r="F33" s="22" t="s">
        <v>15</v>
      </c>
      <c r="G33" s="76">
        <v>0.4</v>
      </c>
      <c r="H33" s="16" t="s">
        <v>111</v>
      </c>
      <c r="I33" s="41">
        <v>98</v>
      </c>
      <c r="J33" s="197"/>
      <c r="K33" s="204"/>
      <c r="L33" s="207"/>
      <c r="M33" s="209"/>
      <c r="N33" s="240"/>
    </row>
    <row r="34" spans="1:14" ht="39" hidden="1" customHeight="1" thickBot="1">
      <c r="A34" s="9" t="s">
        <v>112</v>
      </c>
      <c r="B34" s="10" t="s">
        <v>113</v>
      </c>
      <c r="C34" s="11">
        <v>5</v>
      </c>
      <c r="D34" s="11">
        <v>9.1</v>
      </c>
      <c r="E34" s="12">
        <v>0.4</v>
      </c>
      <c r="F34" s="35" t="s">
        <v>19</v>
      </c>
      <c r="G34" s="78">
        <v>1</v>
      </c>
      <c r="H34" s="35" t="s">
        <v>43</v>
      </c>
      <c r="I34" s="36"/>
      <c r="J34" s="13">
        <f>IF(G34=1, I34, SUMPRODUCT(I34:I34, G34:G34))</f>
        <v>0</v>
      </c>
      <c r="K34" s="14">
        <f>SUMIF(I34:I34, "&lt;&gt;", G34:G34) / SUMIF(G34:G34, "&lt;&gt;")</f>
        <v>0</v>
      </c>
      <c r="L34" s="48" t="str">
        <f>IFERROR(J34/K34, "No grades yet")</f>
        <v>No grades yet</v>
      </c>
      <c r="M34" s="13">
        <f>IF(K34 = 1, "Completed module", IF(((70 - J34) / (1 - K34)) &gt; 100, "Unattainable", IF(((70 - J34) / (1 - K34)) &lt; 0, "Already attained", ((70 - J34) / (1 - K34)))))</f>
        <v>70</v>
      </c>
      <c r="N34" s="15">
        <f>IF(K34 = 1, "Completed module", IF(((60 - J34) / (1 - K34)) &gt; 100, "Unattainable", IF(((60 - J34) / (1 - K34)) &lt; 0, "Already attained", ((60 - J34) / (1 - K34)))))</f>
        <v>60</v>
      </c>
    </row>
    <row r="35" spans="1:14" ht="15.75" hidden="1" customHeight="1">
      <c r="A35" s="189" t="s">
        <v>114</v>
      </c>
      <c r="B35" s="191" t="s">
        <v>115</v>
      </c>
      <c r="C35" s="193">
        <v>5</v>
      </c>
      <c r="D35" s="193">
        <v>9.1</v>
      </c>
      <c r="E35" s="195">
        <v>0.5</v>
      </c>
      <c r="F35" s="46" t="s">
        <v>13</v>
      </c>
      <c r="G35" s="75">
        <v>0.2</v>
      </c>
      <c r="H35" s="46" t="s">
        <v>116</v>
      </c>
      <c r="I35" s="47">
        <v>70</v>
      </c>
      <c r="J35" s="196">
        <f>SUMPRODUCT(I35:I36, G35:G36)</f>
        <v>30</v>
      </c>
      <c r="K35" s="202">
        <f>SUMIF(I35:I36, "&lt;&gt;", G35:G36) / SUMIF(G35:G36, "&lt;&gt;")</f>
        <v>1</v>
      </c>
      <c r="L35" s="205">
        <f>IFERROR(J35/K35, "No grades yet")</f>
        <v>30</v>
      </c>
      <c r="M35" s="196" t="str">
        <f>IF(K35 = 1, "Completed module", IF(((70 - J35) / (1 - K35)) &gt; 100, "Unattainable", IF(((70 - J35) / (1 - K35)) &lt; 0, "Already attained", ((70 - J35) / (1 - K35)))))</f>
        <v>Completed module</v>
      </c>
      <c r="N35" s="238" t="str">
        <f>IF(K35 = 1, "Completed module", IF(((60 - J35) / (1 - K35)) &gt; 100, "Unattainable", IF(((60 - J35) / (1 - K35)) &lt; 0, "Already attained", ((60 - J35) / (1 - K35)))))</f>
        <v>Completed module</v>
      </c>
    </row>
    <row r="36" spans="1:14" ht="15.75" hidden="1" customHeight="1" thickBot="1">
      <c r="A36" s="190"/>
      <c r="B36" s="192"/>
      <c r="C36" s="194"/>
      <c r="D36" s="194"/>
      <c r="E36" s="194"/>
      <c r="F36" s="22" t="s">
        <v>15</v>
      </c>
      <c r="G36" s="76">
        <v>0.8</v>
      </c>
      <c r="H36" s="16" t="s">
        <v>117</v>
      </c>
      <c r="I36" s="41">
        <v>20</v>
      </c>
      <c r="J36" s="197"/>
      <c r="K36" s="204"/>
      <c r="L36" s="207"/>
      <c r="M36" s="209"/>
      <c r="N36" s="240"/>
    </row>
    <row r="37" spans="1:14" ht="15.75" hidden="1" customHeight="1">
      <c r="A37" s="189" t="s">
        <v>118</v>
      </c>
      <c r="B37" s="191" t="s">
        <v>119</v>
      </c>
      <c r="C37" s="193">
        <v>5</v>
      </c>
      <c r="D37" s="193">
        <v>9.1</v>
      </c>
      <c r="E37" s="195">
        <v>0.5</v>
      </c>
      <c r="F37" s="46" t="s">
        <v>19</v>
      </c>
      <c r="G37" s="75">
        <v>0.7</v>
      </c>
      <c r="H37" s="46" t="s">
        <v>43</v>
      </c>
      <c r="I37" s="47"/>
      <c r="J37" s="196">
        <f>SUMPRODUCT(I37:I38, G37:G38)</f>
        <v>0</v>
      </c>
      <c r="K37" s="202">
        <f>SUMIF(I37:I38, "&lt;&gt;", G37:G38) / SUMIF(G37:G38, "&lt;&gt;")</f>
        <v>0</v>
      </c>
      <c r="L37" s="205" t="str">
        <f>IFERROR(J37/K37, "No grades yet")</f>
        <v>No grades yet</v>
      </c>
      <c r="M37" s="196">
        <f>IF(K37 = 1, "Completed module", IF(((70 - J37) / (1 - K37)) &gt; 100, "Unattainable", IF(((70 - J37) / (1 - K37)) &lt; 0, "Already attained", ((70 - J37) / (1 - K37)))))</f>
        <v>70</v>
      </c>
      <c r="N37" s="238">
        <f>IF(K37 = 1, "Completed module", IF(((60 - J37) / (1 - K37)) &gt; 100, "Unattainable", IF(((60 - J37) / (1 - K37)) &lt; 0, "Already attained", ((60 - J37) / (1 - K37)))))</f>
        <v>60</v>
      </c>
    </row>
    <row r="38" spans="1:14" ht="15.75" hidden="1" customHeight="1" thickBot="1">
      <c r="A38" s="190"/>
      <c r="B38" s="192"/>
      <c r="C38" s="194"/>
      <c r="D38" s="194"/>
      <c r="E38" s="194"/>
      <c r="F38" s="22" t="s">
        <v>13</v>
      </c>
      <c r="G38" s="76">
        <v>0.3</v>
      </c>
      <c r="H38" s="16" t="s">
        <v>120</v>
      </c>
      <c r="I38" s="41"/>
      <c r="J38" s="197"/>
      <c r="K38" s="204"/>
      <c r="L38" s="207"/>
      <c r="M38" s="209"/>
      <c r="N38" s="240"/>
    </row>
    <row r="39" spans="1:14" ht="15.75" hidden="1" customHeight="1">
      <c r="A39" s="189" t="s">
        <v>121</v>
      </c>
      <c r="B39" s="191" t="s">
        <v>122</v>
      </c>
      <c r="C39" s="193">
        <v>5</v>
      </c>
      <c r="D39" s="193">
        <v>9.1</v>
      </c>
      <c r="E39" s="195">
        <v>0.5</v>
      </c>
      <c r="F39" s="46" t="s">
        <v>11</v>
      </c>
      <c r="G39" s="75">
        <v>0.3</v>
      </c>
      <c r="H39" s="46" t="s">
        <v>123</v>
      </c>
      <c r="I39" s="47"/>
      <c r="J39" s="196">
        <f>SUMPRODUCT(I39:I42, G39:G42)</f>
        <v>0</v>
      </c>
      <c r="K39" s="202">
        <f>SUMIF(I39:I42, "&lt;&gt;", G39:G42) / SUMIF(G39:G42, "&lt;&gt;")</f>
        <v>0</v>
      </c>
      <c r="L39" s="205" t="str">
        <f>IFERROR(J39/K39, "No grades yet")</f>
        <v>No grades yet</v>
      </c>
      <c r="M39" s="196">
        <f>IF(K39 = 1, "Completed module", IF(((70 - J39) / (1 - K39)) &gt; 100, "Unattainable", IF(((70 - J39) / (1 - K39)) &lt; 0, "Already attained", ((70 - J39) / (1 - K39)))))</f>
        <v>70</v>
      </c>
      <c r="N39" s="238">
        <f>IF(K39 = 1, "Completed module", IF(((60 - J39) / (1 - K39)) &gt; 100, "Unattainable", IF(((60 - J39) / (1 - K39)) &lt; 0, "Already attained", ((60 - J39) / (1 - K39)))))</f>
        <v>60</v>
      </c>
    </row>
    <row r="40" spans="1:14" ht="15.75" hidden="1" customHeight="1">
      <c r="A40" s="198"/>
      <c r="B40" s="199"/>
      <c r="C40" s="200"/>
      <c r="D40" s="200"/>
      <c r="E40" s="200"/>
      <c r="F40" s="19" t="s">
        <v>73</v>
      </c>
      <c r="G40" s="73">
        <v>0.2</v>
      </c>
      <c r="H40" s="20" t="s">
        <v>124</v>
      </c>
      <c r="I40" s="31"/>
      <c r="J40" s="201"/>
      <c r="K40" s="203"/>
      <c r="L40" s="206"/>
      <c r="M40" s="208"/>
      <c r="N40" s="239"/>
    </row>
    <row r="41" spans="1:14" ht="15.75" hidden="1" customHeight="1">
      <c r="A41" s="198"/>
      <c r="B41" s="199"/>
      <c r="C41" s="200"/>
      <c r="D41" s="200"/>
      <c r="E41" s="200"/>
      <c r="F41" s="20" t="s">
        <v>13</v>
      </c>
      <c r="G41" s="73">
        <v>0.3</v>
      </c>
      <c r="H41" s="32" t="s">
        <v>125</v>
      </c>
      <c r="I41" s="31"/>
      <c r="J41" s="201"/>
      <c r="K41" s="203"/>
      <c r="L41" s="206"/>
      <c r="M41" s="208"/>
      <c r="N41" s="239"/>
    </row>
    <row r="42" spans="1:14" ht="15.75" hidden="1" customHeight="1" thickBot="1">
      <c r="A42" s="190"/>
      <c r="B42" s="192"/>
      <c r="C42" s="194"/>
      <c r="D42" s="194"/>
      <c r="E42" s="194"/>
      <c r="F42" s="16" t="s">
        <v>11</v>
      </c>
      <c r="G42" s="76">
        <v>0.2</v>
      </c>
      <c r="H42" s="16" t="s">
        <v>126</v>
      </c>
      <c r="I42" s="41"/>
      <c r="J42" s="197"/>
      <c r="K42" s="204"/>
      <c r="L42" s="207"/>
      <c r="M42" s="209"/>
      <c r="N42" s="240"/>
    </row>
    <row r="43" spans="1:14" ht="34.799999999999997" hidden="1" customHeight="1" thickBot="1">
      <c r="A43" s="9" t="s">
        <v>127</v>
      </c>
      <c r="B43" s="10" t="s">
        <v>128</v>
      </c>
      <c r="C43" s="11">
        <v>5</v>
      </c>
      <c r="D43" s="11">
        <v>9.1</v>
      </c>
      <c r="E43" s="12">
        <v>0.5</v>
      </c>
      <c r="F43" s="35" t="s">
        <v>19</v>
      </c>
      <c r="G43" s="78">
        <v>1</v>
      </c>
      <c r="H43" s="35" t="s">
        <v>43</v>
      </c>
      <c r="I43" s="36"/>
      <c r="J43" s="13">
        <f>IF(G43=1, I43, SUMPRODUCT(I43:I43, G43:G43))</f>
        <v>0</v>
      </c>
      <c r="K43" s="14">
        <f>SUMIF(I43:I43, "&lt;&gt;", G43:G43) / SUMIF(G43:G43, "&lt;&gt;")</f>
        <v>0</v>
      </c>
      <c r="L43" s="48" t="str">
        <f>IFERROR(J43/K43, "No grades yet")</f>
        <v>No grades yet</v>
      </c>
      <c r="M43" s="13">
        <f>IF(K43 = 1, "Completed module", IF(((70 - J43) / (1 - K43)) &gt; 100, "Unattainable", IF(((70 - J43) / (1 - K43)) &lt; 0, "Already attained", ((70 - J43) / (1 - K43)))))</f>
        <v>70</v>
      </c>
      <c r="N43" s="15">
        <f>IF(K43 = 1, "Completed module", IF(((60 - J43) / (1 - K43)) &gt; 100, "Unattainable", IF(((60 - J43) / (1 - K43)) &lt; 0, "Already attained", ((60 - J43) / (1 - K43)))))</f>
        <v>60</v>
      </c>
    </row>
    <row r="44" spans="1:14" ht="15.75" customHeight="1">
      <c r="A44" s="189" t="s">
        <v>129</v>
      </c>
      <c r="B44" s="191" t="s">
        <v>130</v>
      </c>
      <c r="C44" s="193">
        <v>5</v>
      </c>
      <c r="D44" s="193">
        <v>9.1</v>
      </c>
      <c r="E44" s="195">
        <v>0.5</v>
      </c>
      <c r="F44" s="46" t="s">
        <v>19</v>
      </c>
      <c r="G44" s="75">
        <v>0.8</v>
      </c>
      <c r="H44" s="46" t="s">
        <v>43</v>
      </c>
      <c r="I44" s="47"/>
      <c r="J44" s="196">
        <f>SUMPRODUCT(I44:I45, G44:G45)</f>
        <v>0</v>
      </c>
      <c r="K44" s="202">
        <f>SUMIF(I44:I45, "&lt;&gt;", G44:G45) / SUMIF(G44:G45, "&lt;&gt;")</f>
        <v>0</v>
      </c>
      <c r="L44" s="205" t="str">
        <f>IFERROR(J44/K44, "No grades yet")</f>
        <v>No grades yet</v>
      </c>
      <c r="M44" s="196">
        <f>IF(K44 = 1, "Completed module", IF(((70 - J44) / (1 - K44)) &gt; 100, "Unattainable", IF(((70 - J44) / (1 - K44)) &lt; 0, "Already attained", ((70 - J44) / (1 - K44)))))</f>
        <v>70</v>
      </c>
      <c r="N44" s="238">
        <f>IF(K44 = 1, "Completed module", IF(((60 - J44) / (1 - K44)) &gt; 100, "Unattainable", IF(((60 - J44) / (1 - K44)) &lt; 0, "Already attained", ((60 - J44) / (1 - K44)))))</f>
        <v>60</v>
      </c>
    </row>
    <row r="45" spans="1:14" ht="15.75" customHeight="1" thickBot="1">
      <c r="A45" s="190"/>
      <c r="B45" s="192"/>
      <c r="C45" s="194"/>
      <c r="D45" s="194"/>
      <c r="E45" s="194"/>
      <c r="F45" s="22" t="s">
        <v>11</v>
      </c>
      <c r="G45" s="76">
        <v>0.2</v>
      </c>
      <c r="H45" s="16" t="s">
        <v>131</v>
      </c>
      <c r="I45" s="41"/>
      <c r="J45" s="197"/>
      <c r="K45" s="204"/>
      <c r="L45" s="207"/>
      <c r="M45" s="209"/>
      <c r="N45" s="240"/>
    </row>
    <row r="46" spans="1:14" ht="28.8" hidden="1" customHeight="1" thickBot="1">
      <c r="A46" s="57" t="s">
        <v>132</v>
      </c>
      <c r="B46" s="58" t="s">
        <v>133</v>
      </c>
      <c r="C46" s="59">
        <v>5</v>
      </c>
      <c r="D46" s="60">
        <v>9.1</v>
      </c>
      <c r="E46" s="60">
        <v>0.4</v>
      </c>
      <c r="F46" s="61" t="s">
        <v>134</v>
      </c>
      <c r="G46" s="82" t="s">
        <v>92</v>
      </c>
      <c r="H46" s="62" t="s">
        <v>92</v>
      </c>
      <c r="I46" s="63"/>
      <c r="J46" s="64" t="e">
        <f>IF(G46=1, I46, SUMPRODUCT(I46:I46, G46:G46))</f>
        <v>#VALUE!</v>
      </c>
      <c r="K46" s="65" t="e">
        <f>SUMIF(I46:I46, "&lt;&gt;", G46:G46) / SUMIF(G46:G46, "&lt;&gt;")</f>
        <v>#DIV/0!</v>
      </c>
      <c r="L46" s="66" t="str">
        <f>IFERROR(J46/K46, "No grades yet")</f>
        <v>No grades yet</v>
      </c>
      <c r="M46" s="65" t="str">
        <f>IFERROR(IF(K46 = 1, "Completed module", IF(((70 - J46) / (1 - K46)) &gt; 100, "Unattainable", IF(((70 - J46) / (1 - K46)) &lt; 0, "Already attained", ((70 - J46) / (1 - K46))))), "-")</f>
        <v>-</v>
      </c>
      <c r="N46" s="67" t="str">
        <f>IFERROR(IF(K46 = 1, "Completed module", IF(((60 - J46) / (1 - K46)) &gt; 100, "Unattainable", IF(((60 - J46) / (1 - K46)) &lt; 0, "Already attained", ((60 - J46) / (1 - K46))))), "-")</f>
        <v>-</v>
      </c>
    </row>
    <row r="47" spans="1:14" ht="15.75" hidden="1" customHeight="1" thickBot="1">
      <c r="A47" s="9" t="s">
        <v>135</v>
      </c>
      <c r="B47" s="10" t="s">
        <v>136</v>
      </c>
      <c r="C47" s="11">
        <v>5</v>
      </c>
      <c r="D47" s="11">
        <v>9.1</v>
      </c>
      <c r="E47" s="12">
        <v>0.4</v>
      </c>
      <c r="F47" s="35" t="s">
        <v>134</v>
      </c>
      <c r="G47" s="78" t="s">
        <v>92</v>
      </c>
      <c r="H47" s="35" t="s">
        <v>92</v>
      </c>
      <c r="I47" s="36"/>
      <c r="J47" s="13" t="e">
        <f>IF(G47=1, I47, SUMPRODUCT(I47:I47, G47:G47))</f>
        <v>#VALUE!</v>
      </c>
      <c r="K47" s="14" t="e">
        <f>SUMIF(I47:I47, "&lt;&gt;", G47:G47) / SUMIF(G47:G47, "&lt;&gt;")</f>
        <v>#DIV/0!</v>
      </c>
      <c r="L47" s="48" t="str">
        <f>IFERROR(J47/K47, "No grades yet")</f>
        <v>No grades yet</v>
      </c>
      <c r="M47" s="13" t="str">
        <f>IFERROR(IF(K47 = 1, "Completed module", IF(((70 - J47) / (1 - K47)) &gt; 100, "Unattainable", IF(((70 - J47) / (1 - K47)) &lt; 0, "Already attained", ((70 - J47) / (1 - K47))))), "-")</f>
        <v>-</v>
      </c>
      <c r="N47" s="15" t="str">
        <f>IFERROR(IF(K47 = 1, "Completed module", IF(((60 - J47) / (1 - K47)) &gt; 100, "Unattainable", IF(((60 - J47) / (1 - K47)) &lt; 0, "Already attained", ((60 - J47) / (1 - K47))))), "-")</f>
        <v>-</v>
      </c>
    </row>
    <row r="48" spans="1:14" ht="15.75" hidden="1" customHeight="1" thickBot="1">
      <c r="A48" s="9" t="s">
        <v>137</v>
      </c>
      <c r="B48" s="10" t="s">
        <v>138</v>
      </c>
      <c r="C48" s="11">
        <v>5</v>
      </c>
      <c r="D48" s="11">
        <v>9.1</v>
      </c>
      <c r="E48" s="12">
        <v>0.4</v>
      </c>
      <c r="F48" s="35" t="s">
        <v>134</v>
      </c>
      <c r="G48" s="78" t="s">
        <v>92</v>
      </c>
      <c r="H48" s="35" t="s">
        <v>92</v>
      </c>
      <c r="I48" s="36"/>
      <c r="J48" s="13" t="e">
        <f>IF(G48=1, I48, SUMPRODUCT(I48:I48, G48:G48))</f>
        <v>#VALUE!</v>
      </c>
      <c r="K48" s="14" t="e">
        <f>SUMIF(I48:I48, "&lt;&gt;", G48:G48) / SUMIF(G48:G48, "&lt;&gt;")</f>
        <v>#DIV/0!</v>
      </c>
      <c r="L48" s="48" t="str">
        <f>IFERROR(J48/K48, "No grades yet")</f>
        <v>No grades yet</v>
      </c>
      <c r="M48" s="13" t="str">
        <f>IFERROR(IF(K48 = 1, "Completed module", IF(((70 - J48) / (1 - K48)) &gt; 100, "Unattainable", IF(((70 - J48) / (1 - K48)) &lt; 0, "Already attained", ((70 - J48) / (1 - K48))))), "-")</f>
        <v>-</v>
      </c>
      <c r="N48" s="15" t="str">
        <f>IFERROR(IF(K48 = 1, "Completed module", IF(((60 - J48) / (1 - K48)) &gt; 100, "Unattainable", IF(((60 - J48) / (1 - K48)) &lt; 0, "Already attained", ((60 - J48) / (1 - K48))))), "-")</f>
        <v>-</v>
      </c>
    </row>
  </sheetData>
  <mergeCells count="133"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</mergeCells>
  <conditionalFormatting sqref="L23:L48 L4:L18">
    <cfRule type="containsText" dxfId="454" priority="43" operator="containsText" text="No grades yet">
      <formula>NOT(ISERROR(SEARCH("No grades yet",L4)))</formula>
    </cfRule>
  </conditionalFormatting>
  <conditionalFormatting sqref="I4:I18 I23:I48 L23:L48 L4:L18">
    <cfRule type="containsBlanks" dxfId="453" priority="42">
      <formula>LEN(TRIM(I4))=0</formula>
    </cfRule>
    <cfRule type="cellIs" dxfId="452" priority="44" operator="greaterThanOrEqual">
      <formula>70</formula>
    </cfRule>
  </conditionalFormatting>
  <conditionalFormatting sqref="I4:I18 I23:I45 I47:I48 L46:M46 L47:L48 L23:L45 L4:L18">
    <cfRule type="cellIs" dxfId="451" priority="45" operator="between">
      <formula>70</formula>
      <formula>60</formula>
    </cfRule>
    <cfRule type="cellIs" dxfId="450" priority="52" operator="between">
      <formula>60</formula>
      <formula>50</formula>
    </cfRule>
    <cfRule type="cellIs" dxfId="449" priority="53" operator="between">
      <formula>40</formula>
      <formula>50</formula>
    </cfRule>
    <cfRule type="cellIs" dxfId="448" priority="102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12"/>
  <sheetViews>
    <sheetView zoomScale="72" workbookViewId="0">
      <selection activeCell="A2" sqref="A2"/>
    </sheetView>
  </sheetViews>
  <sheetFormatPr defaultRowHeight="13.2"/>
  <cols>
    <col min="1" max="1" width="13" customWidth="1"/>
    <col min="2" max="2" width="11.6640625" customWidth="1"/>
    <col min="3" max="3" width="5.88671875" bestFit="1" customWidth="1"/>
    <col min="4" max="4" width="12" customWidth="1"/>
    <col min="5" max="5" width="10.21875" bestFit="1" customWidth="1"/>
    <col min="9" max="9" width="6.33203125" customWidth="1"/>
    <col min="10" max="10" width="16" customWidth="1"/>
    <col min="11" max="11" width="22.109375" customWidth="1"/>
    <col min="12" max="12" width="16.33203125" customWidth="1"/>
    <col min="13" max="13" width="24.88671875" customWidth="1"/>
    <col min="14" max="14" width="21.33203125" customWidth="1"/>
    <col min="15" max="15" width="21.77734375" customWidth="1"/>
    <col min="16" max="16" width="22" bestFit="1" customWidth="1"/>
  </cols>
  <sheetData>
    <row r="1" spans="1:16" ht="13.8" thickBot="1">
      <c r="A1" s="23" t="s">
        <v>66</v>
      </c>
    </row>
    <row r="2" spans="1:16" ht="19.2" customHeight="1" thickTop="1" thickBot="1">
      <c r="A2" s="108" t="s">
        <v>67</v>
      </c>
      <c r="B2" s="109" t="s">
        <v>3</v>
      </c>
      <c r="C2" s="109" t="s">
        <v>0</v>
      </c>
      <c r="D2" s="109" t="s">
        <v>93</v>
      </c>
      <c r="E2" s="109" t="s">
        <v>94</v>
      </c>
      <c r="F2" s="241" t="s">
        <v>267</v>
      </c>
      <c r="G2" s="241"/>
      <c r="H2" s="241"/>
      <c r="I2" s="109" t="s">
        <v>4</v>
      </c>
      <c r="J2" s="109" t="s">
        <v>5</v>
      </c>
      <c r="K2" s="109" t="s">
        <v>6</v>
      </c>
      <c r="L2" s="109" t="s">
        <v>7</v>
      </c>
      <c r="M2" s="109" t="s">
        <v>236</v>
      </c>
      <c r="N2" s="109" t="s">
        <v>9</v>
      </c>
      <c r="O2" s="109" t="s">
        <v>237</v>
      </c>
      <c r="P2" s="110" t="s">
        <v>238</v>
      </c>
    </row>
    <row r="3" spans="1:16" ht="13.8" thickTop="1"/>
    <row r="10" spans="1:16" ht="13.8" thickBot="1">
      <c r="A10" s="231" t="s">
        <v>96</v>
      </c>
      <c r="B10" s="232"/>
    </row>
    <row r="11" spans="1:16" ht="16.8" customHeight="1" thickTop="1" thickBot="1">
      <c r="A11" s="108" t="s">
        <v>67</v>
      </c>
      <c r="B11" s="109" t="s">
        <v>3</v>
      </c>
      <c r="C11" s="109" t="s">
        <v>0</v>
      </c>
      <c r="D11" s="109" t="s">
        <v>93</v>
      </c>
      <c r="E11" s="109" t="s">
        <v>94</v>
      </c>
      <c r="F11" s="241" t="s">
        <v>267</v>
      </c>
      <c r="G11" s="241"/>
      <c r="H11" s="241"/>
      <c r="I11" s="109" t="s">
        <v>4</v>
      </c>
      <c r="J11" s="109" t="s">
        <v>5</v>
      </c>
      <c r="K11" s="109" t="s">
        <v>6</v>
      </c>
      <c r="L11" s="109" t="s">
        <v>7</v>
      </c>
      <c r="M11" s="109" t="s">
        <v>236</v>
      </c>
      <c r="N11" s="109" t="s">
        <v>9</v>
      </c>
      <c r="O11" s="109" t="s">
        <v>237</v>
      </c>
      <c r="P11" s="110" t="s">
        <v>238</v>
      </c>
    </row>
    <row r="12" spans="1:16" ht="13.8" thickTop="1"/>
  </sheetData>
  <mergeCells count="3">
    <mergeCell ref="A10:B10"/>
    <mergeCell ref="F2:H2"/>
    <mergeCell ref="F11:H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zoomScale="72" workbookViewId="0">
      <selection activeCell="B31" sqref="B31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customWidth="1"/>
    <col min="10" max="10" width="9.77734375" customWidth="1"/>
    <col min="11" max="11" width="17.88671875" bestFit="1" customWidth="1"/>
    <col min="12" max="12" width="26.6640625" bestFit="1" customWidth="1"/>
    <col min="13" max="13" width="25.21875" bestFit="1" customWidth="1"/>
    <col min="14" max="14" width="25" customWidth="1"/>
    <col min="15" max="15" width="26.6640625" customWidth="1"/>
  </cols>
  <sheetData>
    <row r="1" spans="1:15" ht="13.8" thickBot="1">
      <c r="A1" s="85" t="s">
        <v>185</v>
      </c>
      <c r="B1" s="85" t="s">
        <v>186</v>
      </c>
      <c r="C1" s="85" t="s">
        <v>187</v>
      </c>
      <c r="D1" s="85" t="s">
        <v>188</v>
      </c>
      <c r="E1" s="150" t="s">
        <v>189</v>
      </c>
      <c r="F1" s="151"/>
      <c r="G1" s="152"/>
      <c r="H1" s="85" t="s">
        <v>190</v>
      </c>
      <c r="I1" s="85" t="s">
        <v>5</v>
      </c>
      <c r="J1" s="85" t="s">
        <v>6</v>
      </c>
      <c r="K1" s="85" t="s">
        <v>7</v>
      </c>
      <c r="L1" s="85" t="s">
        <v>236</v>
      </c>
      <c r="M1" s="85" t="s">
        <v>9</v>
      </c>
      <c r="N1" s="85" t="s">
        <v>237</v>
      </c>
      <c r="O1" s="85" t="s">
        <v>238</v>
      </c>
    </row>
    <row r="2" spans="1:15" ht="13.8" thickTop="1">
      <c r="A2" s="250" t="s">
        <v>229</v>
      </c>
      <c r="B2" s="252" t="s">
        <v>230</v>
      </c>
      <c r="C2" s="254">
        <v>10</v>
      </c>
      <c r="D2" s="256">
        <v>0.4</v>
      </c>
      <c r="E2" s="98" t="s">
        <v>231</v>
      </c>
      <c r="F2" s="99">
        <v>0.2</v>
      </c>
      <c r="G2" s="98" t="s">
        <v>232</v>
      </c>
      <c r="H2" s="100"/>
      <c r="I2" s="245">
        <f>IF(F2=1, H2, SUMPRODUCT(H2:H4, F2:F4))</f>
        <v>0</v>
      </c>
      <c r="J2" s="245">
        <f>SUMIF(H2:H4, "&lt;&gt;", F2:F4) / SUMIF(F2:F4, "&lt;&gt;")</f>
        <v>0</v>
      </c>
      <c r="K2" s="245" t="str">
        <f>IFERROR(I2/J2, "No grades yet")</f>
        <v>No grades yet</v>
      </c>
      <c r="L2" s="245">
        <f>IFERROR(IF(J2 = 1, "Completed module", IF(((70 - I2) / (1 - J2)) &gt; 100, "Unattainable", IF(((70 - I2) / (1 - J2)) &lt; 0, "Already attained", ((70 - I2) / (1 - J2))))), "-")</f>
        <v>70</v>
      </c>
      <c r="M2" s="245">
        <f>IFERROR(IF(J2 = 1, "Completed module", IF(((60 - I2) / (1 - J2)) &gt; 100, "Unattainable", IF(((60 - I2) / (1 - J2)) &lt; 0, "Already attained", ((60 - I2) / (1 - J2))))), "-")</f>
        <v>60</v>
      </c>
      <c r="N2" s="245">
        <f>IFERROR(IF(J2 = 1, "Completed module", IF(((50 - I2) / (1 - J2)) &gt; 100, "Unattainable", IF(((50 - I2) / (1 - J2)) &lt; 0, "Already attained", ((50 - I2) / (1 - J2))))), "-")</f>
        <v>50</v>
      </c>
      <c r="O2" s="242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58"/>
      <c r="B3" s="260"/>
      <c r="C3" s="262"/>
      <c r="D3" s="264"/>
      <c r="E3" s="95" t="s">
        <v>193</v>
      </c>
      <c r="F3" s="96">
        <v>0.5</v>
      </c>
      <c r="G3" s="95" t="s">
        <v>233</v>
      </c>
      <c r="H3" s="97"/>
      <c r="I3" s="248"/>
      <c r="J3" s="248"/>
      <c r="K3" s="248"/>
      <c r="L3" s="248"/>
      <c r="M3" s="248"/>
      <c r="N3" s="248"/>
      <c r="O3" s="243"/>
    </row>
    <row r="4" spans="1:15" ht="13.8" thickBot="1">
      <c r="A4" s="259"/>
      <c r="B4" s="261"/>
      <c r="C4" s="263"/>
      <c r="D4" s="265"/>
      <c r="E4" s="105" t="s">
        <v>234</v>
      </c>
      <c r="F4" s="106">
        <v>0.3</v>
      </c>
      <c r="G4" s="105" t="s">
        <v>235</v>
      </c>
      <c r="H4" s="107"/>
      <c r="I4" s="249"/>
      <c r="J4" s="249"/>
      <c r="K4" s="249"/>
      <c r="L4" s="249"/>
      <c r="M4" s="249"/>
      <c r="N4" s="249"/>
      <c r="O4" s="244"/>
    </row>
    <row r="5" spans="1:15" ht="13.8" thickTop="1">
      <c r="A5" s="250" t="s">
        <v>191</v>
      </c>
      <c r="B5" s="252" t="s">
        <v>192</v>
      </c>
      <c r="C5" s="254">
        <v>10</v>
      </c>
      <c r="D5" s="256">
        <v>0.4</v>
      </c>
      <c r="E5" s="98" t="s">
        <v>193</v>
      </c>
      <c r="F5" s="99">
        <v>0.6</v>
      </c>
      <c r="G5" s="98" t="s">
        <v>194</v>
      </c>
      <c r="H5" s="100"/>
      <c r="I5" s="245">
        <f>IF(F5=1, H5, SUMPRODUCT(H5:H8, F5:F8))</f>
        <v>0</v>
      </c>
      <c r="J5" s="245">
        <f>SUMIF(H5:H8, "&lt;&gt;", F5:F8) / SUMIF(F5:F8, "&lt;&gt;")</f>
        <v>0</v>
      </c>
      <c r="K5" s="245" t="str">
        <f>IFERROR(I5/J5, "No grades yet")</f>
        <v>No grades yet</v>
      </c>
      <c r="L5" s="245">
        <f>IFERROR(IF(J5 = 1, "Completed module", IF(((70 - I5) / (1 - J5)) &gt; 100, "Unattainable", IF(((70 - I5) / (1 - J5)) &lt; 0, "Already attained", ((70 - I5) / (1 - J5))))), "-")</f>
        <v>70</v>
      </c>
      <c r="M5" s="245">
        <f>IFERROR(IF(J5 = 1, "Completed module", IF(((60 - I5) / (1 - J5)) &gt; 100, "Unattainable", IF(((60 - I5) / (1 - J5)) &lt; 0, "Already attained", ((60 - I5) / (1 - J5))))), "-")</f>
        <v>60</v>
      </c>
      <c r="N5" s="245">
        <f>IFERROR(IF(J5 = 1, "Completed module", IF(((50 - I5) / (1 - J5)) &gt; 100, "Unattainable", IF(((50 - I5) / (1 - J5)) &lt; 0, "Already attained", ((50 - I5) / (1 - J5))))), "-")</f>
        <v>50</v>
      </c>
      <c r="O5" s="242">
        <f>IFERROR(IF(J5 = 1, "Completed module", IF(((40 - I5) / (1 - J5)) &gt; 100, "Unattainable", IF(((40 - I5) / (1 - J5)) &lt; 0, "Already attained", ((40 - I5) / (1 - J5))))), "-")</f>
        <v>40</v>
      </c>
    </row>
    <row r="6" spans="1:15">
      <c r="A6" s="258"/>
      <c r="B6" s="260"/>
      <c r="C6" s="262"/>
      <c r="D6" s="264"/>
      <c r="E6" s="104" t="s">
        <v>198</v>
      </c>
      <c r="F6" s="96">
        <v>0.3</v>
      </c>
      <c r="G6" s="95" t="s">
        <v>195</v>
      </c>
      <c r="H6" s="97"/>
      <c r="I6" s="248"/>
      <c r="J6" s="248"/>
      <c r="K6" s="248"/>
      <c r="L6" s="248"/>
      <c r="M6" s="248"/>
      <c r="N6" s="248"/>
      <c r="O6" s="243"/>
    </row>
    <row r="7" spans="1:15">
      <c r="A7" s="258"/>
      <c r="B7" s="260"/>
      <c r="C7" s="262"/>
      <c r="D7" s="264"/>
      <c r="E7" s="95" t="s">
        <v>231</v>
      </c>
      <c r="F7" s="96">
        <v>0</v>
      </c>
      <c r="G7" s="95" t="s">
        <v>196</v>
      </c>
      <c r="H7" s="97"/>
      <c r="I7" s="248"/>
      <c r="J7" s="248"/>
      <c r="K7" s="248"/>
      <c r="L7" s="248"/>
      <c r="M7" s="248"/>
      <c r="N7" s="248"/>
      <c r="O7" s="243"/>
    </row>
    <row r="8" spans="1:15" ht="13.8" thickBot="1">
      <c r="A8" s="259"/>
      <c r="B8" s="261"/>
      <c r="C8" s="263"/>
      <c r="D8" s="265"/>
      <c r="E8" s="105" t="s">
        <v>231</v>
      </c>
      <c r="F8" s="106">
        <v>0.1</v>
      </c>
      <c r="G8" s="105" t="s">
        <v>197</v>
      </c>
      <c r="H8" s="107"/>
      <c r="I8" s="249"/>
      <c r="J8" s="249"/>
      <c r="K8" s="249"/>
      <c r="L8" s="249"/>
      <c r="M8" s="249"/>
      <c r="N8" s="249"/>
      <c r="O8" s="244"/>
    </row>
    <row r="9" spans="1:15" ht="13.8" thickTop="1">
      <c r="A9" s="250" t="s">
        <v>239</v>
      </c>
      <c r="B9" s="252" t="s">
        <v>240</v>
      </c>
      <c r="C9" s="254">
        <v>5</v>
      </c>
      <c r="D9" s="256">
        <v>0.4</v>
      </c>
      <c r="E9" s="98" t="s">
        <v>241</v>
      </c>
      <c r="F9" s="99">
        <v>0.4</v>
      </c>
      <c r="G9" s="98" t="s">
        <v>241</v>
      </c>
      <c r="H9" s="100"/>
      <c r="I9" s="245">
        <f>IF(F9=1, H9, SUMPRODUCT(H9:H12, F9:F12))</f>
        <v>0</v>
      </c>
      <c r="J9" s="245">
        <f>SUMIF(H9:H12, "&lt;&gt;", F9:F12) / SUMIF(F9:F12, "&lt;&gt;")</f>
        <v>0</v>
      </c>
      <c r="K9" s="245" t="str">
        <f>IFERROR(I9/J9, "No grades yet")</f>
        <v>No grades yet</v>
      </c>
      <c r="L9" s="245">
        <f>IFERROR(IF(J9 = 1, "Completed module", IF(((70 - I9) / (1 - J9)) &gt; 100, "Unattainable", IF(((70 - I9) / (1 - J9)) &lt; 0, "Already attained", ((70 - I9) / (1 - J9))))), "-")</f>
        <v>70</v>
      </c>
      <c r="M9" s="245">
        <f>IFERROR(IF(J9 = 1, "Completed module", IF(((60 - I9) / (1 - J9)) &gt; 100, "Unattainable", IF(((60 - I9) / (1 - J9)) &lt; 0, "Already attained", ((60 - I9) / (1 - J9))))), "-")</f>
        <v>60</v>
      </c>
      <c r="N9" s="245">
        <f>IFERROR(IF(J9 = 1, "Completed module", IF(((50 - I9) / (1 - J9)) &gt; 100, "Unattainable", IF(((50 - I9) / (1 - J9)) &lt; 0, "Already attained", ((50 - I9) / (1 - J9))))), "-")</f>
        <v>50</v>
      </c>
      <c r="O9" s="242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258"/>
      <c r="B10" s="260"/>
      <c r="C10" s="262"/>
      <c r="D10" s="264"/>
      <c r="E10" s="95" t="s">
        <v>242</v>
      </c>
      <c r="F10" s="96">
        <v>0.6</v>
      </c>
      <c r="G10" s="95" t="s">
        <v>243</v>
      </c>
      <c r="H10" s="97"/>
      <c r="I10" s="248"/>
      <c r="J10" s="248"/>
      <c r="K10" s="248"/>
      <c r="L10" s="248"/>
      <c r="M10" s="248"/>
      <c r="N10" s="248"/>
      <c r="O10" s="243"/>
    </row>
    <row r="11" spans="1:15">
      <c r="A11" s="258"/>
      <c r="B11" s="260"/>
      <c r="C11" s="262"/>
      <c r="D11" s="264"/>
      <c r="E11" s="95" t="s">
        <v>244</v>
      </c>
      <c r="F11" s="96">
        <v>0</v>
      </c>
      <c r="G11" s="95" t="s">
        <v>245</v>
      </c>
      <c r="H11" s="97"/>
      <c r="I11" s="248"/>
      <c r="J11" s="248"/>
      <c r="K11" s="248"/>
      <c r="L11" s="248"/>
      <c r="M11" s="248"/>
      <c r="N11" s="248"/>
      <c r="O11" s="243"/>
    </row>
    <row r="12" spans="1:15" ht="13.8" thickBot="1">
      <c r="A12" s="259"/>
      <c r="B12" s="261"/>
      <c r="C12" s="263"/>
      <c r="D12" s="265"/>
      <c r="E12" s="105" t="s">
        <v>246</v>
      </c>
      <c r="F12" s="106">
        <v>0</v>
      </c>
      <c r="G12" s="105" t="s">
        <v>247</v>
      </c>
      <c r="H12" s="107"/>
      <c r="I12" s="249"/>
      <c r="J12" s="249"/>
      <c r="K12" s="249"/>
      <c r="L12" s="249"/>
      <c r="M12" s="249"/>
      <c r="N12" s="249"/>
      <c r="O12" s="244"/>
    </row>
    <row r="13" spans="1:15" ht="13.8" thickTop="1">
      <c r="A13" s="250" t="s">
        <v>248</v>
      </c>
      <c r="B13" s="252" t="s">
        <v>249</v>
      </c>
      <c r="C13" s="254">
        <v>10</v>
      </c>
      <c r="D13" s="256">
        <v>0.4</v>
      </c>
      <c r="E13" s="98" t="s">
        <v>231</v>
      </c>
      <c r="F13" s="99">
        <v>0.1</v>
      </c>
      <c r="G13" s="98" t="s">
        <v>250</v>
      </c>
      <c r="H13" s="100"/>
      <c r="I13" s="245">
        <f>IF(F13=1, H13, SUMPRODUCT(H13:H15, F13:F15))</f>
        <v>0</v>
      </c>
      <c r="J13" s="245">
        <f>SUMIF(H13:H15, "&lt;&gt;", F13:F15) / SUMIF(F13:F15, "&lt;&gt;")</f>
        <v>0</v>
      </c>
      <c r="K13" s="245" t="str">
        <f>IFERROR(I13/J13, "No grades yet")</f>
        <v>No grades yet</v>
      </c>
      <c r="L13" s="245">
        <f>IFERROR(IF(J13 = 1, "Completed module", IF(((70 - I13) / (1 - J13)) &gt; 100, "Unattainable", IF(((70 - I13) / (1 - J13)) &lt; 0, "Already attained", ((70 - I13) / (1 - J13))))), "-")</f>
        <v>70</v>
      </c>
      <c r="M13" s="245">
        <f>IFERROR(IF(J13 = 1, "Completed module", IF(((60 - I13) / (1 - J13)) &gt; 100, "Unattainable", IF(((60 - I13) / (1 - J13)) &lt; 0, "Already attained", ((60 - I13) / (1 - J13))))), "-")</f>
        <v>60</v>
      </c>
      <c r="N13" s="245">
        <f>IFERROR(IF(J13 = 1, "Completed module", IF(((50 - I13) / (1 - J13)) &gt; 100, "Unattainable", IF(((50 - I13) / (1 - J13)) &lt; 0, "Already attained", ((50 - I13) / (1 - J13))))), "-")</f>
        <v>50</v>
      </c>
      <c r="O13" s="242">
        <f>IFERROR(IF(J13 = 1, "Completed module", IF(((40 - I13) / (1 - J13)) &gt; 100, "Unattainable", IF(((40 - I13) / (1 - J13)) &lt; 0, "Already attained", ((40 - I13) / (1 - J13))))), "-")</f>
        <v>40</v>
      </c>
    </row>
    <row r="14" spans="1:15">
      <c r="A14" s="258"/>
      <c r="B14" s="260"/>
      <c r="C14" s="262"/>
      <c r="D14" s="264"/>
      <c r="E14" s="95" t="s">
        <v>231</v>
      </c>
      <c r="F14" s="96">
        <v>0.1</v>
      </c>
      <c r="G14" s="95" t="s">
        <v>251</v>
      </c>
      <c r="H14" s="97"/>
      <c r="I14" s="248"/>
      <c r="J14" s="248"/>
      <c r="K14" s="248"/>
      <c r="L14" s="248"/>
      <c r="M14" s="248"/>
      <c r="N14" s="248"/>
      <c r="O14" s="243"/>
    </row>
    <row r="15" spans="1:15" ht="13.8" thickBot="1">
      <c r="A15" s="259"/>
      <c r="B15" s="261"/>
      <c r="C15" s="263"/>
      <c r="D15" s="265"/>
      <c r="E15" s="105" t="s">
        <v>193</v>
      </c>
      <c r="F15" s="106">
        <v>0.8</v>
      </c>
      <c r="G15" s="105" t="s">
        <v>252</v>
      </c>
      <c r="H15" s="107"/>
      <c r="I15" s="249"/>
      <c r="J15" s="249"/>
      <c r="K15" s="249"/>
      <c r="L15" s="249"/>
      <c r="M15" s="249"/>
      <c r="N15" s="249"/>
      <c r="O15" s="244"/>
    </row>
    <row r="16" spans="1:15" ht="13.8" thickTop="1">
      <c r="A16" s="250" t="s">
        <v>253</v>
      </c>
      <c r="B16" s="252" t="s">
        <v>254</v>
      </c>
      <c r="C16" s="254">
        <v>15</v>
      </c>
      <c r="D16" s="256">
        <v>0.4</v>
      </c>
      <c r="E16" s="98" t="s">
        <v>255</v>
      </c>
      <c r="F16" s="99">
        <v>0.15</v>
      </c>
      <c r="G16" s="98" t="s">
        <v>256</v>
      </c>
      <c r="H16" s="100"/>
      <c r="I16" s="245">
        <f>IF(F16=1, H16, SUMPRODUCT(H16:H21, F16:F21))</f>
        <v>0</v>
      </c>
      <c r="J16" s="245">
        <f>SUMIF(H16:H21, "&lt;&gt;", F16:F21) / SUMIF(F16:F21, "&lt;&gt;")</f>
        <v>0</v>
      </c>
      <c r="K16" s="245" t="str">
        <f>IFERROR(I16/J16, "No grades yet")</f>
        <v>No grades yet</v>
      </c>
      <c r="L16" s="245">
        <f>IFERROR(IF(J16 = 1, "Completed module", IF(((70 - I16) / (1 - J16)) &gt; 100, "Unattainable", IF(((70 - I16) / (1 - J16)) &lt; 0, "Already attained", ((70 - I16) / (1 - J16))))), "-")</f>
        <v>70</v>
      </c>
      <c r="M16" s="245">
        <f>IFERROR(IF(J16 = 1, "Completed module", IF(((60 - I16) / (1 - J16)) &gt; 100, "Unattainable", IF(((60 - I16) / (1 - J16)) &lt; 0, "Already attained", ((60 - I16) / (1 - J16))))), "-")</f>
        <v>60</v>
      </c>
      <c r="N16" s="245">
        <f>IFERROR(IF(J16 = 1, "Completed module", IF(((50 - I16) / (1 - J16)) &gt; 100, "Unattainable", IF(((50 - I16) / (1 - J16)) &lt; 0, "Already attained", ((50 - I16) / (1 - J16))))), "-")</f>
        <v>50</v>
      </c>
      <c r="O16" s="242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258"/>
      <c r="B17" s="260"/>
      <c r="C17" s="262"/>
      <c r="D17" s="264"/>
      <c r="E17" s="95" t="s">
        <v>255</v>
      </c>
      <c r="F17" s="96">
        <v>0.35</v>
      </c>
      <c r="G17" s="95" t="s">
        <v>257</v>
      </c>
      <c r="H17" s="97"/>
      <c r="I17" s="248"/>
      <c r="J17" s="248"/>
      <c r="K17" s="248"/>
      <c r="L17" s="248"/>
      <c r="M17" s="248"/>
      <c r="N17" s="248"/>
      <c r="O17" s="243"/>
    </row>
    <row r="18" spans="1:15">
      <c r="A18" s="258"/>
      <c r="B18" s="260"/>
      <c r="C18" s="262"/>
      <c r="D18" s="264"/>
      <c r="E18" s="95" t="s">
        <v>231</v>
      </c>
      <c r="F18" s="96">
        <v>0.1</v>
      </c>
      <c r="G18" s="95" t="s">
        <v>258</v>
      </c>
      <c r="H18" s="97"/>
      <c r="I18" s="248"/>
      <c r="J18" s="248"/>
      <c r="K18" s="248"/>
      <c r="L18" s="248"/>
      <c r="M18" s="248"/>
      <c r="N18" s="248"/>
      <c r="O18" s="243"/>
    </row>
    <row r="19" spans="1:15">
      <c r="A19" s="258"/>
      <c r="B19" s="260"/>
      <c r="C19" s="262"/>
      <c r="D19" s="264"/>
      <c r="E19" s="95" t="s">
        <v>231</v>
      </c>
      <c r="F19" s="96">
        <v>0.1</v>
      </c>
      <c r="G19" s="95" t="s">
        <v>259</v>
      </c>
      <c r="H19" s="97"/>
      <c r="I19" s="248"/>
      <c r="J19" s="248"/>
      <c r="K19" s="248"/>
      <c r="L19" s="248"/>
      <c r="M19" s="248"/>
      <c r="N19" s="248"/>
      <c r="O19" s="243"/>
    </row>
    <row r="20" spans="1:15">
      <c r="A20" s="258"/>
      <c r="B20" s="260"/>
      <c r="C20" s="262"/>
      <c r="D20" s="264"/>
      <c r="E20" s="95" t="s">
        <v>260</v>
      </c>
      <c r="F20" s="96">
        <v>0.15</v>
      </c>
      <c r="G20" s="95" t="s">
        <v>261</v>
      </c>
      <c r="H20" s="97"/>
      <c r="I20" s="248"/>
      <c r="J20" s="248"/>
      <c r="K20" s="248"/>
      <c r="L20" s="248"/>
      <c r="M20" s="248"/>
      <c r="N20" s="248"/>
      <c r="O20" s="243"/>
    </row>
    <row r="21" spans="1:15" ht="13.8" thickBot="1">
      <c r="A21" s="259"/>
      <c r="B21" s="261"/>
      <c r="C21" s="263"/>
      <c r="D21" s="265"/>
      <c r="E21" s="105" t="s">
        <v>242</v>
      </c>
      <c r="F21" s="106">
        <v>0.15</v>
      </c>
      <c r="G21" s="105" t="s">
        <v>262</v>
      </c>
      <c r="H21" s="107"/>
      <c r="I21" s="249"/>
      <c r="J21" s="249"/>
      <c r="K21" s="249"/>
      <c r="L21" s="249"/>
      <c r="M21" s="249"/>
      <c r="N21" s="249"/>
      <c r="O21" s="244"/>
    </row>
    <row r="22" spans="1:15" ht="13.8" thickTop="1">
      <c r="A22" s="250" t="s">
        <v>263</v>
      </c>
      <c r="B22" s="252" t="s">
        <v>264</v>
      </c>
      <c r="C22" s="254">
        <v>10</v>
      </c>
      <c r="D22" s="256">
        <v>0.4</v>
      </c>
      <c r="E22" s="98" t="s">
        <v>193</v>
      </c>
      <c r="F22" s="99">
        <v>0.9</v>
      </c>
      <c r="G22" s="98" t="s">
        <v>265</v>
      </c>
      <c r="H22" s="100"/>
      <c r="I22" s="245">
        <f>IF(F22=1, H22, SUMPRODUCT(H22:H23, F22:F23))</f>
        <v>0</v>
      </c>
      <c r="J22" s="245">
        <f>SUMIF(H22:H23, "&lt;&gt;", F22:F23) / SUMIF(F22:F23, "&lt;&gt;")</f>
        <v>0</v>
      </c>
      <c r="K22" s="245" t="str">
        <f>IFERROR(I22/J22, "No grades yet")</f>
        <v>No grades yet</v>
      </c>
      <c r="L22" s="245">
        <f>IFERROR(IF(J22 = 1, "Completed module", IF(((70 - I22) / (1 - J22)) &gt; 100, "Unattainable", IF(((70 - I22) / (1 - J22)) &lt; 0, "Already attained", ((70 - I22) / (1 - J22))))), "-")</f>
        <v>70</v>
      </c>
      <c r="M22" s="245">
        <f>IFERROR(IF(J22 = 1, "Completed module", IF(((60 - I22) / (1 - J22)) &gt; 100, "Unattainable", IF(((60 - I22) / (1 - J22)) &lt; 0, "Already attained", ((60 - I22) / (1 - J22))))), "-")</f>
        <v>60</v>
      </c>
      <c r="N22" s="245">
        <f>IFERROR(IF(J22 = 1, "Completed module", IF(((50 - I22) / (1 - J22)) &gt; 100, "Unattainable", IF(((50 - I22) / (1 - J22)) &lt; 0, "Already attained", ((50 - I22) / (1 - J22))))), "-")</f>
        <v>50</v>
      </c>
      <c r="O22" s="242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>
      <c r="A23" s="251"/>
      <c r="B23" s="253"/>
      <c r="C23" s="255"/>
      <c r="D23" s="257"/>
      <c r="E23" s="101" t="s">
        <v>242</v>
      </c>
      <c r="F23" s="102">
        <v>0.1</v>
      </c>
      <c r="G23" s="101" t="s">
        <v>266</v>
      </c>
      <c r="H23" s="103"/>
      <c r="I23" s="246"/>
      <c r="J23" s="246"/>
      <c r="K23" s="246"/>
      <c r="L23" s="246"/>
      <c r="M23" s="246"/>
      <c r="N23" s="246"/>
      <c r="O23" s="247"/>
    </row>
    <row r="24" spans="1:15" ht="13.8" thickTop="1"/>
  </sheetData>
  <mergeCells count="67">
    <mergeCell ref="N2:N4"/>
    <mergeCell ref="O2:O4"/>
    <mergeCell ref="N5:N8"/>
    <mergeCell ref="O5:O8"/>
    <mergeCell ref="M2:M4"/>
    <mergeCell ref="I5:I8"/>
    <mergeCell ref="J5:J8"/>
    <mergeCell ref="K5:K8"/>
    <mergeCell ref="L5:L8"/>
    <mergeCell ref="M5:M8"/>
    <mergeCell ref="I2:I4"/>
    <mergeCell ref="J2:J4"/>
    <mergeCell ref="K2:K4"/>
    <mergeCell ref="L2:L4"/>
    <mergeCell ref="E1:G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E34" sqref="E34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customWidth="1"/>
  </cols>
  <sheetData>
    <row r="1" spans="1:15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  <c r="N1" s="85" t="s">
        <v>237</v>
      </c>
      <c r="O1" s="85" t="s">
        <v>238</v>
      </c>
    </row>
    <row r="2" spans="1:15" ht="13.8" thickTop="1">
      <c r="A2" s="179" t="s">
        <v>144</v>
      </c>
      <c r="B2" s="164" t="s">
        <v>42</v>
      </c>
      <c r="C2" s="167">
        <v>5</v>
      </c>
      <c r="D2" s="173">
        <v>0.4</v>
      </c>
      <c r="E2" s="115" t="s">
        <v>19</v>
      </c>
      <c r="F2" s="116">
        <v>0.8</v>
      </c>
      <c r="G2" s="117" t="s">
        <v>43</v>
      </c>
      <c r="H2" s="118">
        <v>30</v>
      </c>
      <c r="I2" s="170">
        <f>IF(F2=1, H2, SUMPRODUCT(H2:H4, F2:F4))</f>
        <v>35</v>
      </c>
      <c r="J2" s="170">
        <f>SUMIF(H2:H4, "&lt;&gt;", F2:F4) / SUMIF(F2:F4, "&lt;&gt;")</f>
        <v>1</v>
      </c>
      <c r="K2" s="170">
        <f>IFERROR(I2/J2, "No grades yet")</f>
        <v>35</v>
      </c>
      <c r="L2" s="161" t="str">
        <f>IFERROR(IF(J2 = 1, "Completed module", IF(((70 - I2) / (1 - J2)) &gt; 100, "Unattainable", IF(((70 - I2) / (1 - J2)) &lt; 0, "Already attained", ((70 - I2) / (1 - J2))))), "-")</f>
        <v>Completed module</v>
      </c>
      <c r="M2" s="161" t="str">
        <f>IFERROR(IF(J2 = 1, "Completed module", IF(((60 - I2) / (1 - J2)) &gt; 100, "Unattainable", IF(((60 - I2) / (1 - J2)) &lt; 0, "Already attained", ((60 - I2) / (1 - J2))))), "-")</f>
        <v>Completed module</v>
      </c>
      <c r="N2" s="134" t="str">
        <f>IFERROR(IF(J2 = 1, "Completed module", IF(((50 - I2) / (1 - J2)) &gt; 100, "Unattainable", IF(((50 - I2) / (1 - J2)) &lt; 0, "Already attained", ((50 - I2) / (1 - J2))))), "-")</f>
        <v>Completed module</v>
      </c>
      <c r="O2" s="157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>
      <c r="A3" s="180"/>
      <c r="B3" s="165"/>
      <c r="C3" s="168"/>
      <c r="D3" s="168"/>
      <c r="E3" s="113" t="s">
        <v>34</v>
      </c>
      <c r="F3" s="112">
        <v>0.1</v>
      </c>
      <c r="G3" s="113" t="s">
        <v>44</v>
      </c>
      <c r="H3" s="114">
        <v>40</v>
      </c>
      <c r="I3" s="171"/>
      <c r="J3" s="171"/>
      <c r="K3" s="171"/>
      <c r="L3" s="162"/>
      <c r="M3" s="162"/>
      <c r="N3" s="135"/>
      <c r="O3" s="159"/>
    </row>
    <row r="4" spans="1:15" ht="13.8" thickBot="1">
      <c r="A4" s="181"/>
      <c r="B4" s="166"/>
      <c r="C4" s="169"/>
      <c r="D4" s="169"/>
      <c r="E4" s="122" t="s">
        <v>34</v>
      </c>
      <c r="F4" s="123">
        <v>0.1</v>
      </c>
      <c r="G4" s="122" t="s">
        <v>45</v>
      </c>
      <c r="H4" s="124">
        <v>70</v>
      </c>
      <c r="I4" s="172"/>
      <c r="J4" s="172"/>
      <c r="K4" s="172"/>
      <c r="L4" s="163"/>
      <c r="M4" s="163"/>
      <c r="N4" s="136"/>
      <c r="O4" s="158"/>
    </row>
    <row r="5" spans="1:15" ht="13.8" thickTop="1">
      <c r="A5" s="179" t="s">
        <v>139</v>
      </c>
      <c r="B5" s="164" t="s">
        <v>10</v>
      </c>
      <c r="C5" s="167">
        <v>10</v>
      </c>
      <c r="D5" s="173">
        <v>0.4</v>
      </c>
      <c r="E5" s="117" t="s">
        <v>11</v>
      </c>
      <c r="F5" s="116">
        <v>0.25</v>
      </c>
      <c r="G5" s="117" t="s">
        <v>12</v>
      </c>
      <c r="H5" s="118"/>
      <c r="I5" s="170">
        <f>IF(F5=1, H5, SUMPRODUCT(H5:H8, F5:F8))</f>
        <v>58</v>
      </c>
      <c r="J5" s="170">
        <f>SUMIF(H5:H8, "&lt;&gt;", F5:F8) / SUMIF(F5:F8, "&lt;&gt;")</f>
        <v>0.75</v>
      </c>
      <c r="K5" s="170">
        <f>IFERROR(I5/J5, "No grades yet")</f>
        <v>77.333333333333329</v>
      </c>
      <c r="L5" s="161">
        <f>IFERROR(IF(J5 = 1, "Completed module", IF(((70 - I5) / (1 - J5)) &gt; 100, "Unattainable", IF(((70 - I5) / (1 - J5)) &lt; 0, "Already attained", ((70 - I5) / (1 - J5))))), "-")</f>
        <v>48</v>
      </c>
      <c r="M5" s="161">
        <f>IFERROR(IF(J5 = 1, "Completed module", IF(((60 - I5) / (1 - J5)) &gt; 100, "Unattainable", IF(((60 - I5) / (1 - J5)) &lt; 0, "Already attained", ((60 - I5) / (1 - J5))))), "-")</f>
        <v>8</v>
      </c>
      <c r="N5" s="134" t="str">
        <f>IFERROR(IF(J5 = 1, "Completed module", IF(((50 - I5) / (1 - J5)) &gt; 100, "Unattainable", IF(((50 - I5) / (1 - J5)) &lt; 0, "Already attained", ((50 - I5) / (1 - J5))))), "-")</f>
        <v>Already attained</v>
      </c>
      <c r="O5" s="157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>
      <c r="A6" s="180"/>
      <c r="B6" s="165"/>
      <c r="C6" s="168"/>
      <c r="D6" s="168"/>
      <c r="E6" s="113" t="s">
        <v>13</v>
      </c>
      <c r="F6" s="112">
        <v>0.25</v>
      </c>
      <c r="G6" s="113" t="s">
        <v>14</v>
      </c>
      <c r="H6" s="114">
        <v>73</v>
      </c>
      <c r="I6" s="171"/>
      <c r="J6" s="171"/>
      <c r="K6" s="171"/>
      <c r="L6" s="162"/>
      <c r="M6" s="162"/>
      <c r="N6" s="135"/>
      <c r="O6" s="159"/>
    </row>
    <row r="7" spans="1:15" ht="13.2">
      <c r="A7" s="180"/>
      <c r="B7" s="165"/>
      <c r="C7" s="168"/>
      <c r="D7" s="168"/>
      <c r="E7" s="113" t="s">
        <v>15</v>
      </c>
      <c r="F7" s="112">
        <v>0.25</v>
      </c>
      <c r="G7" s="113" t="s">
        <v>16</v>
      </c>
      <c r="H7" s="114">
        <v>69</v>
      </c>
      <c r="I7" s="171"/>
      <c r="J7" s="171"/>
      <c r="K7" s="171"/>
      <c r="L7" s="162"/>
      <c r="M7" s="162"/>
      <c r="N7" s="135"/>
      <c r="O7" s="159"/>
    </row>
    <row r="8" spans="1:15" ht="13.8" thickBot="1">
      <c r="A8" s="181"/>
      <c r="B8" s="166"/>
      <c r="C8" s="169"/>
      <c r="D8" s="169"/>
      <c r="E8" s="122" t="s">
        <v>11</v>
      </c>
      <c r="F8" s="123">
        <v>0.25</v>
      </c>
      <c r="G8" s="122" t="s">
        <v>17</v>
      </c>
      <c r="H8" s="124">
        <v>90</v>
      </c>
      <c r="I8" s="172"/>
      <c r="J8" s="172"/>
      <c r="K8" s="172"/>
      <c r="L8" s="163"/>
      <c r="M8" s="163"/>
      <c r="N8" s="136"/>
      <c r="O8" s="158"/>
    </row>
    <row r="9" spans="1:15" ht="13.8" thickTop="1">
      <c r="A9" s="179" t="s">
        <v>145</v>
      </c>
      <c r="B9" s="164" t="s">
        <v>46</v>
      </c>
      <c r="C9" s="167">
        <v>10</v>
      </c>
      <c r="D9" s="173">
        <v>0.4</v>
      </c>
      <c r="E9" s="117" t="s">
        <v>19</v>
      </c>
      <c r="F9" s="116">
        <v>0.7</v>
      </c>
      <c r="G9" s="117" t="s">
        <v>47</v>
      </c>
      <c r="H9" s="118"/>
      <c r="I9" s="170">
        <f>IF(F9=1, H9, SUMPRODUCT(H9:H11, F9:F11))</f>
        <v>14.55</v>
      </c>
      <c r="J9" s="170">
        <f>SUMIF(H9:H11, "&lt;&gt;", F9:F11) / SUMIF(F9:F11, "&lt;&gt;")</f>
        <v>0.3</v>
      </c>
      <c r="K9" s="170">
        <f>IFERROR(I9/J9, "No grades yet")</f>
        <v>48.500000000000007</v>
      </c>
      <c r="L9" s="161">
        <f>IFERROR(IF(J9 = 1, "Completed module", IF(((70 - I9) / (1 - J9)) &gt; 100, "Unattainable", IF(((70 - I9) / (1 - J9)) &lt; 0, "Already attained", ((70 - I9) / (1 - J9))))), "-")</f>
        <v>79.214285714285722</v>
      </c>
      <c r="M9" s="161">
        <f>IFERROR(IF(J9 = 1, "Completed module", IF(((60 - I9) / (1 - J9)) &gt; 100, "Unattainable", IF(((60 - I9) / (1 - J9)) &lt; 0, "Already attained", ((60 - I9) / (1 - J9))))), "-")</f>
        <v>64.928571428571431</v>
      </c>
      <c r="N9" s="134">
        <f>IFERROR(IF(J9 = 1, "Completed module", IF(((50 - I9) / (1 - J9)) &gt; 100, "Unattainable", IF(((50 - I9) / (1 - J9)) &lt; 0, "Already attained", ((50 - I9) / (1 - J9))))), "-")</f>
        <v>50.642857142857153</v>
      </c>
      <c r="O9" s="157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>
      <c r="A10" s="180"/>
      <c r="B10" s="165"/>
      <c r="C10" s="168"/>
      <c r="D10" s="168"/>
      <c r="E10" s="113" t="s">
        <v>31</v>
      </c>
      <c r="F10" s="112">
        <v>0.15</v>
      </c>
      <c r="G10" s="113" t="s">
        <v>48</v>
      </c>
      <c r="H10" s="114">
        <v>45</v>
      </c>
      <c r="I10" s="171"/>
      <c r="J10" s="171"/>
      <c r="K10" s="171"/>
      <c r="L10" s="162"/>
      <c r="M10" s="162"/>
      <c r="N10" s="135"/>
      <c r="O10" s="159"/>
    </row>
    <row r="11" spans="1:15" ht="13.8" thickBot="1">
      <c r="A11" s="181"/>
      <c r="B11" s="166"/>
      <c r="C11" s="169"/>
      <c r="D11" s="169"/>
      <c r="E11" s="122" t="s">
        <v>49</v>
      </c>
      <c r="F11" s="123">
        <v>0.15</v>
      </c>
      <c r="G11" s="122" t="s">
        <v>50</v>
      </c>
      <c r="H11" s="124">
        <v>52</v>
      </c>
      <c r="I11" s="172"/>
      <c r="J11" s="172"/>
      <c r="K11" s="172"/>
      <c r="L11" s="163"/>
      <c r="M11" s="163"/>
      <c r="N11" s="136"/>
      <c r="O11" s="158"/>
    </row>
    <row r="12" spans="1:15" ht="13.8" thickTop="1">
      <c r="A12" s="179" t="s">
        <v>146</v>
      </c>
      <c r="B12" s="164" t="s">
        <v>51</v>
      </c>
      <c r="C12" s="167">
        <v>10</v>
      </c>
      <c r="D12" s="173">
        <v>0.4</v>
      </c>
      <c r="E12" s="117" t="s">
        <v>52</v>
      </c>
      <c r="F12" s="116">
        <v>0.3</v>
      </c>
      <c r="G12" s="117" t="s">
        <v>53</v>
      </c>
      <c r="H12" s="118"/>
      <c r="I12" s="170">
        <f>IF(F12=1, H12, SUMPRODUCT(H12:H16, F12:F16))</f>
        <v>0</v>
      </c>
      <c r="J12" s="170">
        <f>SUMIF(H12:H16, "&lt;&gt;", F12:F16) / SUMIF(F12:F16, "&lt;&gt;")</f>
        <v>0</v>
      </c>
      <c r="K12" s="170" t="str">
        <f>IFERROR(I12/J12, "No grades yet")</f>
        <v>No grades yet</v>
      </c>
      <c r="L12" s="161">
        <f>IFERROR(IF(J12 = 1, "Completed module", IF(((70 - I12) / (1 - J12)) &gt; 100, "Unattainable", IF(((70 - I12) / (1 - J12)) &lt; 0, "Already attained", ((70 - I12) / (1 - J12))))), "-")</f>
        <v>70</v>
      </c>
      <c r="M12" s="161">
        <f>IFERROR(IF(J12 = 1, "Completed module", IF(((60 - I12) / (1 - J12)) &gt; 100, "Unattainable", IF(((60 - I12) / (1 - J12)) &lt; 0, "Already attained", ((60 - I12) / (1 - J12))))), "-")</f>
        <v>60</v>
      </c>
      <c r="N12" s="134">
        <f>IFERROR(IF(J12 = 1, "Completed module", IF(((50 - I12) / (1 - J12)) &gt; 100, "Unattainable", IF(((50 - I12) / (1 - J12)) &lt; 0, "Already attained", ((50 - I12) / (1 - J12))))), "-")</f>
        <v>50</v>
      </c>
      <c r="O12" s="157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>
      <c r="A13" s="180"/>
      <c r="B13" s="165"/>
      <c r="C13" s="168"/>
      <c r="D13" s="168"/>
      <c r="E13" s="113" t="s">
        <v>19</v>
      </c>
      <c r="F13" s="112">
        <v>0.6</v>
      </c>
      <c r="G13" s="113" t="s">
        <v>54</v>
      </c>
      <c r="H13" s="114"/>
      <c r="I13" s="171"/>
      <c r="J13" s="171"/>
      <c r="K13" s="171"/>
      <c r="L13" s="162"/>
      <c r="M13" s="162"/>
      <c r="N13" s="135"/>
      <c r="O13" s="159"/>
    </row>
    <row r="14" spans="1:15" ht="13.2">
      <c r="A14" s="180"/>
      <c r="B14" s="165"/>
      <c r="C14" s="168"/>
      <c r="D14" s="168"/>
      <c r="E14" s="113" t="s">
        <v>31</v>
      </c>
      <c r="F14" s="112">
        <v>0.05</v>
      </c>
      <c r="G14" s="113" t="s">
        <v>31</v>
      </c>
      <c r="H14" s="114"/>
      <c r="I14" s="171"/>
      <c r="J14" s="171"/>
      <c r="K14" s="171"/>
      <c r="L14" s="162"/>
      <c r="M14" s="162"/>
      <c r="N14" s="135"/>
      <c r="O14" s="159"/>
    </row>
    <row r="15" spans="1:15" ht="13.2">
      <c r="A15" s="180"/>
      <c r="B15" s="165"/>
      <c r="C15" s="168"/>
      <c r="D15" s="168"/>
      <c r="E15" s="113" t="s">
        <v>34</v>
      </c>
      <c r="F15" s="125">
        <v>2.5000000000000001E-2</v>
      </c>
      <c r="G15" s="113" t="s">
        <v>55</v>
      </c>
      <c r="H15" s="114"/>
      <c r="I15" s="171"/>
      <c r="J15" s="171"/>
      <c r="K15" s="171"/>
      <c r="L15" s="162"/>
      <c r="M15" s="162"/>
      <c r="N15" s="135"/>
      <c r="O15" s="159"/>
    </row>
    <row r="16" spans="1:15" ht="13.8" thickBot="1">
      <c r="A16" s="181"/>
      <c r="B16" s="166"/>
      <c r="C16" s="169"/>
      <c r="D16" s="169"/>
      <c r="E16" s="122" t="s">
        <v>34</v>
      </c>
      <c r="F16" s="130">
        <v>2.5000000000000001E-2</v>
      </c>
      <c r="G16" s="122" t="s">
        <v>56</v>
      </c>
      <c r="H16" s="124"/>
      <c r="I16" s="172"/>
      <c r="J16" s="172"/>
      <c r="K16" s="172"/>
      <c r="L16" s="163"/>
      <c r="M16" s="163"/>
      <c r="N16" s="136"/>
      <c r="O16" s="158"/>
    </row>
    <row r="17" spans="1:15" ht="13.8" thickTop="1">
      <c r="A17" s="276" t="s">
        <v>147</v>
      </c>
      <c r="B17" s="269" t="s">
        <v>57</v>
      </c>
      <c r="C17" s="270">
        <v>7.5</v>
      </c>
      <c r="D17" s="274">
        <v>0.4</v>
      </c>
      <c r="E17" s="115" t="s">
        <v>19</v>
      </c>
      <c r="F17" s="128">
        <v>0.7</v>
      </c>
      <c r="G17" s="115" t="s">
        <v>43</v>
      </c>
      <c r="H17" s="129"/>
      <c r="I17" s="271">
        <f>IF(F17=1, H17, SUMPRODUCT(H17:H19, F17:F19))</f>
        <v>6</v>
      </c>
      <c r="J17" s="271">
        <f>SUMIF(H17:H19, "&lt;&gt;", F17:F19) / SUMIF(F17:F19, "&lt;&gt;")</f>
        <v>0.10000000000000002</v>
      </c>
      <c r="K17" s="271">
        <f>IFERROR(I17/J17, "No grades yet")</f>
        <v>59.999999999999986</v>
      </c>
      <c r="L17" s="266">
        <f>IFERROR(IF(J17 = 1, "Completed module", IF(((70 - I17) / (1 - J17)) &gt; 100, "Unattainable", IF(((70 - I17) / (1 - J17)) &lt; 0, "Already attained", ((70 - I17) / (1 - J17))))), "-")</f>
        <v>71.111111111111114</v>
      </c>
      <c r="M17" s="266">
        <f>IFERROR(IF(J17 = 1, "Completed module", IF(((60 - I17) / (1 - J17)) &gt; 100, "Unattainable", IF(((60 - I17) / (1 - J17)) &lt; 0, "Already attained", ((60 - I17) / (1 - J17))))), "-")</f>
        <v>60</v>
      </c>
      <c r="N17" s="134">
        <f>IFERROR(IF(J17 = 1, "Completed module", IF(((50 - I17) / (1 - J17)) &gt; 100, "Unattainable", IF(((50 - I17) / (1 - J17)) &lt; 0, "Already attained", ((50 - I17) / (1 - J17))))), "-")</f>
        <v>48.888888888888886</v>
      </c>
      <c r="O17" s="157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>
      <c r="A18" s="180"/>
      <c r="B18" s="165"/>
      <c r="C18" s="168"/>
      <c r="D18" s="168"/>
      <c r="E18" s="111" t="s">
        <v>22</v>
      </c>
      <c r="F18" s="126">
        <v>0.2</v>
      </c>
      <c r="G18" s="111" t="s">
        <v>58</v>
      </c>
      <c r="H18" s="127"/>
      <c r="I18" s="273"/>
      <c r="J18" s="273"/>
      <c r="K18" s="273"/>
      <c r="L18" s="267"/>
      <c r="M18" s="267"/>
      <c r="N18" s="135"/>
      <c r="O18" s="159"/>
    </row>
    <row r="19" spans="1:15" ht="13.8" thickBot="1">
      <c r="A19" s="181"/>
      <c r="B19" s="166"/>
      <c r="C19" s="169"/>
      <c r="D19" s="169"/>
      <c r="E19" s="131" t="s">
        <v>22</v>
      </c>
      <c r="F19" s="132">
        <v>0.1</v>
      </c>
      <c r="G19" s="131" t="s">
        <v>59</v>
      </c>
      <c r="H19" s="133">
        <v>60</v>
      </c>
      <c r="I19" s="272"/>
      <c r="J19" s="272"/>
      <c r="K19" s="272"/>
      <c r="L19" s="268"/>
      <c r="M19" s="268"/>
      <c r="N19" s="136"/>
      <c r="O19" s="158"/>
    </row>
    <row r="20" spans="1:15" ht="13.8" thickTop="1">
      <c r="A20" s="276" t="s">
        <v>148</v>
      </c>
      <c r="B20" s="269" t="s">
        <v>60</v>
      </c>
      <c r="C20" s="270">
        <v>5</v>
      </c>
      <c r="D20" s="274">
        <v>0.4</v>
      </c>
      <c r="E20" s="115" t="s">
        <v>19</v>
      </c>
      <c r="F20" s="128">
        <v>0.6</v>
      </c>
      <c r="G20" s="115" t="s">
        <v>43</v>
      </c>
      <c r="H20" s="118"/>
      <c r="I20" s="271">
        <f>IF(F20=1, H20, SUMPRODUCT(H20:H21, F20:F21))</f>
        <v>35.6</v>
      </c>
      <c r="J20" s="271">
        <f>SUMIF(H20:H21, "&lt;&gt;", F20:F21) / SUMIF(F20:F21, "&lt;&gt;")</f>
        <v>0.4</v>
      </c>
      <c r="K20" s="170">
        <f>IFERROR(I20/J20, "No grades yet")</f>
        <v>89</v>
      </c>
      <c r="L20" s="266">
        <f>IFERROR(IF(J20 = 1, "Completed module", IF(((70 - I20) / (1 - J20)) &gt; 100, "Unattainable", IF(((70 - I20) / (1 - J20)) &lt; 0, "Already attained", ((70 - I20) / (1 - J20))))), "-")</f>
        <v>57.333333333333336</v>
      </c>
      <c r="M20" s="266">
        <f>IFERROR(IF(J20 = 1, "Completed module", IF(((60 - I20) / (1 - J20)) &gt; 100, "Unattainable", IF(((60 - I20) / (1 - J20)) &lt; 0, "Already attained", ((60 - I20) / (1 - J20))))), "-")</f>
        <v>40.666666666666664</v>
      </c>
      <c r="N20" s="134">
        <f>IFERROR(IF(J20 = 1, "Completed module", IF(((50 - I20) / (1 - J20)) &gt; 100, "Unattainable", IF(((50 - I20) / (1 - J20)) &lt; 0, "Already attained", ((50 - I20) / (1 - J20))))), "-")</f>
        <v>24</v>
      </c>
      <c r="O20" s="157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>
      <c r="A21" s="181"/>
      <c r="B21" s="166"/>
      <c r="C21" s="169"/>
      <c r="D21" s="169"/>
      <c r="E21" s="131" t="s">
        <v>52</v>
      </c>
      <c r="F21" s="132">
        <v>0.4</v>
      </c>
      <c r="G21" s="131" t="s">
        <v>61</v>
      </c>
      <c r="H21" s="124">
        <v>89</v>
      </c>
      <c r="I21" s="272"/>
      <c r="J21" s="272"/>
      <c r="K21" s="172"/>
      <c r="L21" s="268"/>
      <c r="M21" s="268"/>
      <c r="N21" s="136"/>
      <c r="O21" s="158"/>
    </row>
    <row r="22" spans="1:15" ht="13.8" thickTop="1">
      <c r="A22" s="179" t="s">
        <v>143</v>
      </c>
      <c r="B22" s="164" t="s">
        <v>38</v>
      </c>
      <c r="C22" s="167">
        <v>5</v>
      </c>
      <c r="D22" s="173">
        <v>0.4</v>
      </c>
      <c r="E22" s="117" t="s">
        <v>39</v>
      </c>
      <c r="F22" s="116">
        <v>0.5</v>
      </c>
      <c r="G22" s="117" t="s">
        <v>40</v>
      </c>
      <c r="H22" s="118">
        <v>43.6</v>
      </c>
      <c r="I22" s="170">
        <f>IF(F22=1, H22, SUMPRODUCT(H22:H23, F22:F23))</f>
        <v>67.95</v>
      </c>
      <c r="J22" s="170">
        <f>SUMIF(H22:H23, "&lt;&gt;", F22:F23) / SUMIF(F22:F23, "&lt;&gt;")</f>
        <v>1</v>
      </c>
      <c r="K22" s="170">
        <f>IFERROR(I22/J22, "No grades yet")</f>
        <v>67.95</v>
      </c>
      <c r="L22" s="161" t="str">
        <f>IFERROR(IF(J22 = 1, "Completed module", IF(((70 - I22) / (1 - J22)) &gt; 100, "Unattainable", IF(((70 - I22) / (1 - J22)) &lt; 0, "Already attained", ((70 - I22) / (1 - J22))))), "-")</f>
        <v>Completed module</v>
      </c>
      <c r="M22" s="161" t="str">
        <f>IFERROR(IF(J22 = 1, "Completed module", IF(((60 - I22) / (1 - J22)) &gt; 100, "Unattainable", IF(((60 - I22) / (1 - J22)) &lt; 0, "Already attained", ((60 - I22) / (1 - J22))))), "-")</f>
        <v>Completed module</v>
      </c>
      <c r="N22" s="134" t="str">
        <f>IFERROR(IF(J22 = 1, "Completed module", IF(((50 - I22) / (1 - J22)) &gt; 100, "Unattainable", IF(((50 - I22) / (1 - J22)) &lt; 0, "Already attained", ((50 - I22) / (1 - J22))))), "-")</f>
        <v>Completed module</v>
      </c>
      <c r="O22" s="157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>
      <c r="A23" s="181"/>
      <c r="B23" s="166"/>
      <c r="C23" s="169"/>
      <c r="D23" s="169"/>
      <c r="E23" s="122" t="s">
        <v>39</v>
      </c>
      <c r="F23" s="123">
        <v>0.5</v>
      </c>
      <c r="G23" s="122" t="s">
        <v>41</v>
      </c>
      <c r="H23" s="124">
        <v>92.3</v>
      </c>
      <c r="I23" s="172"/>
      <c r="J23" s="172"/>
      <c r="K23" s="172"/>
      <c r="L23" s="163"/>
      <c r="M23" s="163"/>
      <c r="N23" s="136"/>
      <c r="O23" s="158"/>
    </row>
    <row r="24" spans="1:15" ht="13.8" thickTop="1">
      <c r="A24" s="179" t="s">
        <v>149</v>
      </c>
      <c r="B24" s="164" t="s">
        <v>62</v>
      </c>
      <c r="C24" s="167">
        <v>7.5</v>
      </c>
      <c r="D24" s="173">
        <v>0.4</v>
      </c>
      <c r="E24" s="117" t="s">
        <v>19</v>
      </c>
      <c r="F24" s="116">
        <v>0.7</v>
      </c>
      <c r="G24" s="117" t="s">
        <v>63</v>
      </c>
      <c r="H24" s="118">
        <v>31.3</v>
      </c>
      <c r="I24" s="170">
        <f>IF(F24=1, H24, SUMPRODUCT(H24:H26, F24:F26))</f>
        <v>35.486000000000004</v>
      </c>
      <c r="J24" s="170">
        <f>SUMIF(H24:H26, "&lt;&gt;", F24:F26) / SUMIF(F24:F26, "&lt;&gt;")</f>
        <v>0.9</v>
      </c>
      <c r="K24" s="170">
        <f>IFERROR(I24/J24, "No grades yet")</f>
        <v>39.428888888888892</v>
      </c>
      <c r="L24" s="161" t="str">
        <f>IFERROR(IF(J24 = 1, "Completed module", IF(((70 - I24) / (1 - J24)) &gt; 100, "Unattainable", IF(((70 - I24) / (1 - J24)) &lt; 0, "Already attained", ((70 - I24) / (1 - J24))))), "-")</f>
        <v>Unattainable</v>
      </c>
      <c r="M24" s="161" t="str">
        <f>IFERROR(IF(J24 = 1, "Completed module", IF(((60 - I24) / (1 - J24)) &gt; 100, "Unattainable", IF(((60 - I24) / (1 - J24)) &lt; 0, "Already attained", ((60 - I24) / (1 - J24))))), "-")</f>
        <v>Unattainable</v>
      </c>
      <c r="N24" s="134" t="str">
        <f>IFERROR(IF(J24 = 1, "Completed module", IF(((50 - I24) / (1 - J24)) &gt; 100, "Unattainable", IF(((50 - I24) / (1 - J24)) &lt; 0, "Already attained", ((50 - I24) / (1 - J24))))), "-")</f>
        <v>Unattainable</v>
      </c>
      <c r="O24" s="157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>
      <c r="A25" s="180"/>
      <c r="B25" s="165"/>
      <c r="C25" s="168"/>
      <c r="D25" s="168"/>
      <c r="E25" s="113" t="s">
        <v>22</v>
      </c>
      <c r="F25" s="112">
        <v>0.2</v>
      </c>
      <c r="G25" s="113" t="s">
        <v>64</v>
      </c>
      <c r="H25" s="114">
        <v>67.88</v>
      </c>
      <c r="I25" s="171"/>
      <c r="J25" s="171"/>
      <c r="K25" s="171"/>
      <c r="L25" s="162"/>
      <c r="M25" s="162"/>
      <c r="N25" s="135"/>
      <c r="O25" s="159"/>
    </row>
    <row r="26" spans="1:15" ht="13.8" thickBot="1">
      <c r="A26" s="184"/>
      <c r="B26" s="177"/>
      <c r="C26" s="178"/>
      <c r="D26" s="178"/>
      <c r="E26" s="119" t="s">
        <v>22</v>
      </c>
      <c r="F26" s="120">
        <v>0.1</v>
      </c>
      <c r="G26" s="119" t="s">
        <v>65</v>
      </c>
      <c r="H26" s="121"/>
      <c r="I26" s="275"/>
      <c r="J26" s="275"/>
      <c r="K26" s="275"/>
      <c r="L26" s="176"/>
      <c r="M26" s="176"/>
      <c r="N26" s="149"/>
      <c r="O26" s="160"/>
    </row>
    <row r="27" spans="1:15" ht="15.75" customHeight="1" thickTop="1"/>
  </sheetData>
  <mergeCells count="88">
    <mergeCell ref="A20:A21"/>
    <mergeCell ref="A22:A23"/>
    <mergeCell ref="A24:A26"/>
    <mergeCell ref="A2:A4"/>
    <mergeCell ref="A5:A8"/>
    <mergeCell ref="A9:A11"/>
    <mergeCell ref="A12:A16"/>
    <mergeCell ref="A17:A19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N2:N4"/>
    <mergeCell ref="O2:O4"/>
    <mergeCell ref="N5:N8"/>
    <mergeCell ref="O5:O8"/>
    <mergeCell ref="N9:N11"/>
    <mergeCell ref="O9:O11"/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</mergeCells>
  <conditionalFormatting sqref="H2:H26 K2:K26">
    <cfRule type="cellIs" dxfId="447" priority="3" operator="greaterThanOrEqual">
      <formula>70</formula>
    </cfRule>
    <cfRule type="cellIs" dxfId="446" priority="4" operator="between">
      <formula>70</formula>
      <formula>60</formula>
    </cfRule>
    <cfRule type="cellIs" dxfId="445" priority="5" operator="between">
      <formula>60</formula>
      <formula>50</formula>
    </cfRule>
    <cfRule type="cellIs" dxfId="444" priority="6" operator="between">
      <formula>40</formula>
      <formula>50</formula>
    </cfRule>
    <cfRule type="cellIs" dxfId="443" priority="7" operator="lessThan">
      <formula>40</formula>
    </cfRule>
  </conditionalFormatting>
  <conditionalFormatting sqref="H2:H26">
    <cfRule type="containsBlanks" dxfId="442" priority="2">
      <formula>LEN(TRIM(H2))=0</formula>
    </cfRule>
  </conditionalFormatting>
  <conditionalFormatting sqref="K2:K26">
    <cfRule type="containsText" dxfId="441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P68"/>
  <sheetViews>
    <sheetView zoomScale="65" zoomScaleNormal="58" workbookViewId="0">
      <selection activeCell="O30" sqref="O30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customWidth="1"/>
    <col min="13" max="13" width="24.109375" customWidth="1"/>
    <col min="14" max="14" width="24" customWidth="1"/>
    <col min="15" max="15" width="21.21875" customWidth="1"/>
    <col min="16" max="16" width="21.88671875" customWidth="1"/>
  </cols>
  <sheetData>
    <row r="1" spans="1:16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3.8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42" t="s">
        <v>67</v>
      </c>
      <c r="B3" s="43" t="s">
        <v>3</v>
      </c>
      <c r="C3" s="43" t="s">
        <v>0</v>
      </c>
      <c r="D3" s="43" t="s">
        <v>93</v>
      </c>
      <c r="E3" s="43" t="s">
        <v>94</v>
      </c>
      <c r="F3" s="277" t="s">
        <v>95</v>
      </c>
      <c r="G3" s="277"/>
      <c r="H3" s="277"/>
      <c r="I3" s="43" t="s">
        <v>4</v>
      </c>
      <c r="J3" s="43" t="s">
        <v>5</v>
      </c>
      <c r="K3" s="43" t="s">
        <v>6</v>
      </c>
      <c r="L3" s="43" t="s">
        <v>7</v>
      </c>
      <c r="M3" s="43" t="s">
        <v>8</v>
      </c>
      <c r="N3" s="44" t="s">
        <v>9</v>
      </c>
      <c r="O3" s="85" t="s">
        <v>237</v>
      </c>
      <c r="P3" s="85" t="s">
        <v>238</v>
      </c>
    </row>
    <row r="4" spans="1:16" ht="13.2" customHeight="1">
      <c r="A4" s="223" t="s">
        <v>150</v>
      </c>
      <c r="B4" s="226" t="s">
        <v>151</v>
      </c>
      <c r="C4" s="228">
        <v>5</v>
      </c>
      <c r="D4" s="228">
        <v>9.1</v>
      </c>
      <c r="E4" s="230">
        <v>0.4</v>
      </c>
      <c r="F4" s="18" t="s">
        <v>19</v>
      </c>
      <c r="G4" s="72">
        <v>0.75</v>
      </c>
      <c r="H4" s="18" t="s">
        <v>43</v>
      </c>
      <c r="I4" s="30"/>
      <c r="J4" s="213">
        <f>IF(G4=1, I4, SUMPRODUCT(I4:I7, G4:G7))</f>
        <v>0</v>
      </c>
      <c r="K4" s="218">
        <f>SUMIF(I4:I7, "&lt;&gt;", G4:G7) / SUMIF(G4:G7, "&lt;&gt;")</f>
        <v>0</v>
      </c>
      <c r="L4" s="219" t="str">
        <f>IFERROR(J4/K4, "No grades yet")</f>
        <v>No grades yet</v>
      </c>
      <c r="M4" s="213">
        <f>IFERROR(IF(K4 = 1, "Completed module", IF(((70 - J4) / (1 - K4)) &gt; 100, "Unattainable", IF(((70 - J4) / (1 - K4)) &lt; 0, "Already attained", ((70 - J4) / (1 - K4))))), "-")</f>
        <v>70</v>
      </c>
      <c r="N4" s="215">
        <f>IFERROR(IF(K4 = 1, "Completed module", IF(((60 - J4) / (1 - K4)) &gt; 100, "Unattainable", IF(((60 - J4) / (1 - K4)) &lt; 0, "Already attained", ((60 - J4) / (1 - K4))))), "-")</f>
        <v>60</v>
      </c>
    </row>
    <row r="5" spans="1:16" ht="13.2" customHeight="1">
      <c r="A5" s="224"/>
      <c r="B5" s="199"/>
      <c r="C5" s="200"/>
      <c r="D5" s="200"/>
      <c r="E5" s="200"/>
      <c r="F5" s="19" t="s">
        <v>34</v>
      </c>
      <c r="G5" s="73">
        <v>0.05</v>
      </c>
      <c r="H5" s="20" t="s">
        <v>152</v>
      </c>
      <c r="I5" s="31"/>
      <c r="J5" s="201"/>
      <c r="K5" s="203"/>
      <c r="L5" s="206"/>
      <c r="M5" s="208"/>
      <c r="N5" s="216"/>
    </row>
    <row r="6" spans="1:16" ht="15.6" customHeight="1">
      <c r="A6" s="224"/>
      <c r="B6" s="199"/>
      <c r="C6" s="200"/>
      <c r="D6" s="200"/>
      <c r="E6" s="200"/>
      <c r="F6" s="20" t="s">
        <v>34</v>
      </c>
      <c r="G6" s="73">
        <v>0.08</v>
      </c>
      <c r="H6" s="32" t="s">
        <v>153</v>
      </c>
      <c r="I6" s="31"/>
      <c r="J6" s="201"/>
      <c r="K6" s="203"/>
      <c r="L6" s="206"/>
      <c r="M6" s="208"/>
      <c r="N6" s="216"/>
    </row>
    <row r="7" spans="1:16" ht="31.8" customHeight="1" thickBot="1">
      <c r="A7" s="224"/>
      <c r="B7" s="199"/>
      <c r="C7" s="200"/>
      <c r="D7" s="200"/>
      <c r="E7" s="200"/>
      <c r="F7" s="20" t="s">
        <v>11</v>
      </c>
      <c r="G7" s="73">
        <v>0.12</v>
      </c>
      <c r="H7" s="45" t="s">
        <v>154</v>
      </c>
      <c r="I7" s="33"/>
      <c r="J7" s="201"/>
      <c r="K7" s="203"/>
      <c r="L7" s="206"/>
      <c r="M7" s="208"/>
      <c r="N7" s="216"/>
    </row>
    <row r="8" spans="1:16" ht="13.2" customHeight="1">
      <c r="A8" s="223" t="s">
        <v>97</v>
      </c>
      <c r="B8" s="226" t="s">
        <v>155</v>
      </c>
      <c r="C8" s="228">
        <v>5</v>
      </c>
      <c r="D8" s="228">
        <v>9.1</v>
      </c>
      <c r="E8" s="230">
        <v>0.4</v>
      </c>
      <c r="F8" s="18" t="s">
        <v>19</v>
      </c>
      <c r="G8" s="72">
        <v>0.82</v>
      </c>
      <c r="H8" s="18" t="s">
        <v>43</v>
      </c>
      <c r="I8" s="30"/>
      <c r="J8" s="213">
        <f>IF(G8=1, I8, SUMPRODUCT(I8:I11, G8:G11))</f>
        <v>0</v>
      </c>
      <c r="K8" s="218">
        <f>SUMIF(I8:I11, "&lt;&gt;", G8:G11) / SUMIF(G8:G11, "&lt;&gt;")</f>
        <v>0</v>
      </c>
      <c r="L8" s="219" t="str">
        <f>IFERROR(J8/K8, "No grades yet")</f>
        <v>No grades yet</v>
      </c>
      <c r="M8" s="213">
        <f>IFERROR(IF(K8 = 1, "Completed module", IF(((70 - J8) / (1 - K8)) &gt; 100, "Unattainable", IF(((70 - J8) / (1 - K8)) &lt; 0, "Already attained", ((70 - J8) / (1 - K8))))), "-")</f>
        <v>70</v>
      </c>
      <c r="N8" s="215">
        <f>IFERROR(IF(K8 = 1, "Completed module", IF(((60 - J8) / (1 - K8)) &gt; 100, "Unattainable", IF(((60 - J8) / (1 - K8)) &lt; 0, "Already attained", ((60 - J8) / (1 - K8))))), "-")</f>
        <v>60</v>
      </c>
    </row>
    <row r="9" spans="1:16" ht="13.2" customHeight="1">
      <c r="A9" s="224"/>
      <c r="B9" s="199"/>
      <c r="C9" s="200"/>
      <c r="D9" s="200"/>
      <c r="E9" s="200"/>
      <c r="F9" s="19" t="s">
        <v>31</v>
      </c>
      <c r="G9" s="73">
        <v>0.06</v>
      </c>
      <c r="H9" s="20" t="s">
        <v>99</v>
      </c>
      <c r="I9" s="31"/>
      <c r="J9" s="201"/>
      <c r="K9" s="203"/>
      <c r="L9" s="206"/>
      <c r="M9" s="208"/>
      <c r="N9" s="216"/>
    </row>
    <row r="10" spans="1:16" ht="13.2" customHeight="1">
      <c r="A10" s="224"/>
      <c r="B10" s="199"/>
      <c r="C10" s="200"/>
      <c r="D10" s="200"/>
      <c r="E10" s="200"/>
      <c r="F10" s="20" t="s">
        <v>31</v>
      </c>
      <c r="G10" s="73">
        <v>0.06</v>
      </c>
      <c r="H10" s="32" t="s">
        <v>100</v>
      </c>
      <c r="I10" s="31"/>
      <c r="J10" s="201"/>
      <c r="K10" s="203"/>
      <c r="L10" s="206"/>
      <c r="M10" s="208"/>
      <c r="N10" s="216"/>
    </row>
    <row r="11" spans="1:16" ht="13.2" customHeight="1" thickBot="1">
      <c r="A11" s="224"/>
      <c r="B11" s="199"/>
      <c r="C11" s="200"/>
      <c r="D11" s="200"/>
      <c r="E11" s="200"/>
      <c r="F11" s="20" t="s">
        <v>31</v>
      </c>
      <c r="G11" s="73">
        <v>0.06</v>
      </c>
      <c r="H11" s="20" t="s">
        <v>101</v>
      </c>
      <c r="I11" s="33"/>
      <c r="J11" s="201"/>
      <c r="K11" s="203"/>
      <c r="L11" s="206"/>
      <c r="M11" s="208"/>
      <c r="N11" s="216"/>
    </row>
    <row r="12" spans="1:16" ht="13.2" customHeight="1">
      <c r="A12" s="223" t="s">
        <v>156</v>
      </c>
      <c r="B12" s="226" t="s">
        <v>157</v>
      </c>
      <c r="C12" s="228">
        <v>5</v>
      </c>
      <c r="D12" s="228">
        <v>9.1</v>
      </c>
      <c r="E12" s="230">
        <v>0.4</v>
      </c>
      <c r="F12" s="18" t="s">
        <v>158</v>
      </c>
      <c r="G12" s="72">
        <v>0.3</v>
      </c>
      <c r="H12" s="18" t="s">
        <v>158</v>
      </c>
      <c r="I12" s="30"/>
      <c r="J12" s="213">
        <f>IF(G12=1, I12, SUMPRODUCT(I12:I16, G12:G16))</f>
        <v>0</v>
      </c>
      <c r="K12" s="218">
        <f>SUMIF(I12:I16, "&lt;&gt;", G12:G16) / SUMIF(G12:G16, "&lt;&gt;")</f>
        <v>0</v>
      </c>
      <c r="L12" s="219" t="str">
        <f>IFERROR(J12/K12, "No grades yet")</f>
        <v>No grades yet</v>
      </c>
      <c r="M12" s="213">
        <f>IFERROR(IF(K12 = 1, "Completed module", IF(((70 - J12) / (1 - K12)) &gt; 100, "Unattainable", IF(((70 - J12) / (1 - K12)) &lt; 0, "Already attained", ((70 - J12) / (1 - K12))))), "-")</f>
        <v>70</v>
      </c>
      <c r="N12" s="215">
        <f>IFERROR(IF(K12 = 1, "Completed module", IF(((60 - J12) / (1 - K12)) &gt; 100, "Unattainable", IF(((60 - J12) / (1 - K12)) &lt; 0, "Already attained", ((60 - J12) / (1 - K12))))), "-")</f>
        <v>60</v>
      </c>
    </row>
    <row r="13" spans="1:16" ht="13.2" customHeight="1">
      <c r="A13" s="224"/>
      <c r="B13" s="199"/>
      <c r="C13" s="200"/>
      <c r="D13" s="200"/>
      <c r="E13" s="200"/>
      <c r="F13" s="19" t="s">
        <v>11</v>
      </c>
      <c r="G13" s="73">
        <v>0.1</v>
      </c>
      <c r="H13" s="20" t="s">
        <v>159</v>
      </c>
      <c r="I13" s="31"/>
      <c r="J13" s="201"/>
      <c r="K13" s="203"/>
      <c r="L13" s="206"/>
      <c r="M13" s="208"/>
      <c r="N13" s="216"/>
    </row>
    <row r="14" spans="1:16" ht="13.2" customHeight="1">
      <c r="A14" s="224"/>
      <c r="B14" s="199"/>
      <c r="C14" s="200"/>
      <c r="D14" s="200"/>
      <c r="E14" s="200"/>
      <c r="F14" s="20" t="s">
        <v>11</v>
      </c>
      <c r="G14" s="73">
        <v>0.1</v>
      </c>
      <c r="H14" s="32" t="s">
        <v>160</v>
      </c>
      <c r="I14" s="31"/>
      <c r="J14" s="201"/>
      <c r="K14" s="203"/>
      <c r="L14" s="206"/>
      <c r="M14" s="208"/>
      <c r="N14" s="216"/>
    </row>
    <row r="15" spans="1:16" ht="13.2" customHeight="1">
      <c r="A15" s="224"/>
      <c r="B15" s="199"/>
      <c r="C15" s="200"/>
      <c r="D15" s="200"/>
      <c r="E15" s="200"/>
      <c r="F15" s="20" t="s">
        <v>13</v>
      </c>
      <c r="G15" s="73">
        <v>0.4</v>
      </c>
      <c r="H15" s="20" t="s">
        <v>161</v>
      </c>
      <c r="I15" s="33"/>
      <c r="J15" s="201"/>
      <c r="K15" s="203"/>
      <c r="L15" s="206"/>
      <c r="M15" s="208"/>
      <c r="N15" s="216"/>
    </row>
    <row r="16" spans="1:16" ht="13.2" customHeight="1" thickBot="1">
      <c r="A16" s="225"/>
      <c r="B16" s="227"/>
      <c r="C16" s="229"/>
      <c r="D16" s="229"/>
      <c r="E16" s="229"/>
      <c r="F16" s="21" t="s">
        <v>11</v>
      </c>
      <c r="G16" s="73">
        <v>0.1</v>
      </c>
      <c r="H16" s="32" t="s">
        <v>162</v>
      </c>
      <c r="I16" s="34"/>
      <c r="J16" s="220"/>
      <c r="K16" s="221"/>
      <c r="L16" s="222"/>
      <c r="M16" s="214"/>
      <c r="N16" s="217"/>
    </row>
    <row r="17" spans="1:16" ht="13.2" customHeight="1">
      <c r="A17" s="223" t="s">
        <v>102</v>
      </c>
      <c r="B17" s="226" t="s">
        <v>103</v>
      </c>
      <c r="C17" s="228">
        <v>5</v>
      </c>
      <c r="D17" s="228">
        <v>9.1</v>
      </c>
      <c r="E17" s="230">
        <v>0.4</v>
      </c>
      <c r="F17" s="18" t="s">
        <v>19</v>
      </c>
      <c r="G17" s="72">
        <v>0.8</v>
      </c>
      <c r="H17" s="18" t="s">
        <v>43</v>
      </c>
      <c r="I17" s="30"/>
      <c r="J17" s="213">
        <f>IF(G17=1, I17, SUMPRODUCT(I17:I18, G17:G18))</f>
        <v>0</v>
      </c>
      <c r="K17" s="218">
        <f>SUMIF(I17:I18, "&lt;&gt;", G17:G18) / SUMIF(G17:G18, "&lt;&gt;")</f>
        <v>0</v>
      </c>
      <c r="L17" s="219" t="str">
        <f>IFERROR(J17/K17, "No grades yet")</f>
        <v>No grades yet</v>
      </c>
      <c r="M17" s="213">
        <f>IFERROR(IF(K17 = 1, "Completed module", IF(((70 - J17) / (1 - K17)) &gt; 100, "Unattainable", IF(((70 - J17) / (1 - K17)) &lt; 0, "Already attained", ((70 - J17) / (1 - K17))))), "-")</f>
        <v>70</v>
      </c>
      <c r="N17" s="215">
        <f>IFERROR(IF(K17 = 1, "Completed module", IF(((60 - J17) / (1 - K17)) &gt; 100, "Unattainable", IF(((60 - J17) / (1 - K17)) &lt; 0, "Already attained", ((60 - J17) / (1 - K17))))), "-")</f>
        <v>60</v>
      </c>
    </row>
    <row r="18" spans="1:16" ht="13.8" thickBot="1">
      <c r="A18" s="224"/>
      <c r="B18" s="199"/>
      <c r="C18" s="200"/>
      <c r="D18" s="200"/>
      <c r="E18" s="200"/>
      <c r="F18" s="40" t="s">
        <v>49</v>
      </c>
      <c r="G18" s="74">
        <v>0.2</v>
      </c>
      <c r="H18" s="17" t="s">
        <v>49</v>
      </c>
      <c r="I18" s="33"/>
      <c r="J18" s="201"/>
      <c r="K18" s="203"/>
      <c r="L18" s="206"/>
      <c r="M18" s="208"/>
      <c r="N18" s="216"/>
    </row>
    <row r="19" spans="1:16" ht="13.2" customHeight="1">
      <c r="A19" s="189" t="s">
        <v>163</v>
      </c>
      <c r="B19" s="191" t="s">
        <v>164</v>
      </c>
      <c r="C19" s="193">
        <v>5</v>
      </c>
      <c r="D19" s="193">
        <v>9.1</v>
      </c>
      <c r="E19" s="195">
        <v>0.4</v>
      </c>
      <c r="F19" s="46" t="s">
        <v>19</v>
      </c>
      <c r="G19" s="75">
        <v>0.5</v>
      </c>
      <c r="H19" s="46" t="s">
        <v>43</v>
      </c>
      <c r="I19" s="47"/>
      <c r="J19" s="196">
        <f>IF(G19=1, I19, SUMPRODUCT(I19:I22, G19:G22))</f>
        <v>0</v>
      </c>
      <c r="K19" s="202">
        <f>SUMIF(I19:I22, "&lt;&gt;", G19:G22) / SUMIF(G19:G22, "&lt;&gt;")</f>
        <v>0</v>
      </c>
      <c r="L19" s="205" t="str">
        <f>IFERROR(J19/K19, "No grades yet")</f>
        <v>No grades yet</v>
      </c>
      <c r="M19" s="196">
        <f>IFERROR(IF(K19 = 1, "Completed module", IF(((70 - J19) / (1 - K19)) &gt; 100, "Unattainable", IF(((70 - J19) / (1 - K19)) &lt; 0, "Already attained", ((70 - J19) / (1 - K19))))), "-")</f>
        <v>70</v>
      </c>
      <c r="N19" s="238">
        <f>IFERROR(IF(K19 = 1, "Completed module", IF(((60 - J19) / (1 - K19)) &gt; 100, "Unattainable", IF(((60 - J19) / (1 - K19)) &lt; 0, "Already attained", ((60 - J19) / (1 - K19))))), "-")</f>
        <v>60</v>
      </c>
    </row>
    <row r="20" spans="1:16" ht="13.2" customHeight="1">
      <c r="A20" s="198"/>
      <c r="B20" s="199"/>
      <c r="C20" s="200"/>
      <c r="D20" s="200"/>
      <c r="E20" s="200"/>
      <c r="F20" s="19" t="s">
        <v>34</v>
      </c>
      <c r="G20" s="73">
        <v>0.15</v>
      </c>
      <c r="H20" s="20" t="s">
        <v>44</v>
      </c>
      <c r="I20" s="31"/>
      <c r="J20" s="201"/>
      <c r="K20" s="203"/>
      <c r="L20" s="206"/>
      <c r="M20" s="208"/>
      <c r="N20" s="239"/>
    </row>
    <row r="21" spans="1:16" ht="13.2" customHeight="1">
      <c r="A21" s="198"/>
      <c r="B21" s="199"/>
      <c r="C21" s="200"/>
      <c r="D21" s="200"/>
      <c r="E21" s="200"/>
      <c r="F21" s="20" t="s">
        <v>34</v>
      </c>
      <c r="G21" s="73">
        <v>0.15</v>
      </c>
      <c r="H21" s="32" t="s">
        <v>45</v>
      </c>
      <c r="I21" s="31"/>
      <c r="J21" s="201"/>
      <c r="K21" s="203"/>
      <c r="L21" s="206"/>
      <c r="M21" s="208"/>
      <c r="N21" s="239"/>
    </row>
    <row r="22" spans="1:16" ht="13.8" thickBot="1">
      <c r="A22" s="190"/>
      <c r="B22" s="192"/>
      <c r="C22" s="194"/>
      <c r="D22" s="194"/>
      <c r="E22" s="194"/>
      <c r="F22" s="16" t="s">
        <v>49</v>
      </c>
      <c r="G22" s="76">
        <v>0.2</v>
      </c>
      <c r="H22" s="16" t="s">
        <v>49</v>
      </c>
      <c r="I22" s="41"/>
      <c r="J22" s="197"/>
      <c r="K22" s="204"/>
      <c r="L22" s="207"/>
      <c r="M22" s="209"/>
      <c r="N22" s="240"/>
    </row>
    <row r="24" spans="1:16">
      <c r="A24" s="231" t="s">
        <v>96</v>
      </c>
      <c r="B24" s="232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6" ht="13.8" thickBot="1">
      <c r="A25" s="37"/>
      <c r="B25" s="38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6" ht="13.8" thickBot="1">
      <c r="A26" s="49" t="s">
        <v>67</v>
      </c>
      <c r="B26" s="50" t="s">
        <v>3</v>
      </c>
      <c r="C26" s="51" t="s">
        <v>0</v>
      </c>
      <c r="D26" s="51" t="s">
        <v>93</v>
      </c>
      <c r="E26" s="51" t="s">
        <v>94</v>
      </c>
      <c r="F26" s="278" t="s">
        <v>95</v>
      </c>
      <c r="G26" s="279"/>
      <c r="H26" s="280"/>
      <c r="I26" s="51" t="s">
        <v>4</v>
      </c>
      <c r="J26" s="51" t="s">
        <v>5</v>
      </c>
      <c r="K26" s="51" t="s">
        <v>6</v>
      </c>
      <c r="L26" s="52" t="s">
        <v>7</v>
      </c>
      <c r="M26" s="51" t="s">
        <v>8</v>
      </c>
      <c r="N26" s="53" t="s">
        <v>9</v>
      </c>
      <c r="O26" s="85" t="s">
        <v>237</v>
      </c>
      <c r="P26" s="85" t="s">
        <v>238</v>
      </c>
    </row>
    <row r="27" spans="1:16" ht="13.2" customHeight="1">
      <c r="A27" s="223" t="s">
        <v>150</v>
      </c>
      <c r="B27" s="226" t="s">
        <v>151</v>
      </c>
      <c r="C27" s="228">
        <v>5</v>
      </c>
      <c r="D27" s="228">
        <v>9.1</v>
      </c>
      <c r="E27" s="230">
        <v>0.4</v>
      </c>
      <c r="F27" s="18" t="s">
        <v>19</v>
      </c>
      <c r="G27" s="72">
        <v>0.75</v>
      </c>
      <c r="H27" s="18" t="s">
        <v>43</v>
      </c>
      <c r="I27" s="30"/>
      <c r="J27" s="213">
        <f>IF(G27=1, I27, SUMPRODUCT(I27:I30, G27:G30))</f>
        <v>0</v>
      </c>
      <c r="K27" s="218">
        <f>SUMIF(I27:I30, "&lt;&gt;", G27:G30) / SUMIF(G27:G30, "&lt;&gt;")</f>
        <v>0</v>
      </c>
      <c r="L27" s="219" t="str">
        <f>IFERROR(J27/K27, "No grades yet")</f>
        <v>No grades yet</v>
      </c>
      <c r="M27" s="213">
        <f>IFERROR(IF(K27 = 1, "Completed module", IF(((70 - J27) / (1 - K27)) &gt; 100, "Unattainable", IF(((70 - J27) / (1 - K27)) &lt; 0, "Already attained", ((70 - J27) / (1 - K27))))), "-")</f>
        <v>70</v>
      </c>
      <c r="N27" s="215">
        <f>IFERROR(IF(K27 = 1, "Completed module", IF(((60 - J27) / (1 - K27)) &gt; 100, "Unattainable", IF(((60 - J27) / (1 - K27)) &lt; 0, "Already attained", ((60 - J27) / (1 - K27))))), "-")</f>
        <v>60</v>
      </c>
    </row>
    <row r="28" spans="1:16" ht="13.2" customHeight="1">
      <c r="A28" s="224"/>
      <c r="B28" s="199"/>
      <c r="C28" s="200"/>
      <c r="D28" s="200"/>
      <c r="E28" s="200"/>
      <c r="F28" s="19" t="s">
        <v>34</v>
      </c>
      <c r="G28" s="73">
        <v>0.05</v>
      </c>
      <c r="H28" s="20" t="s">
        <v>152</v>
      </c>
      <c r="I28" s="31"/>
      <c r="J28" s="201"/>
      <c r="K28" s="203"/>
      <c r="L28" s="206"/>
      <c r="M28" s="208"/>
      <c r="N28" s="216"/>
    </row>
    <row r="29" spans="1:16" ht="13.2" customHeight="1">
      <c r="A29" s="224"/>
      <c r="B29" s="199"/>
      <c r="C29" s="200"/>
      <c r="D29" s="200"/>
      <c r="E29" s="200"/>
      <c r="F29" s="20" t="s">
        <v>34</v>
      </c>
      <c r="G29" s="73">
        <v>0.08</v>
      </c>
      <c r="H29" s="32" t="s">
        <v>153</v>
      </c>
      <c r="I29" s="31"/>
      <c r="J29" s="201"/>
      <c r="K29" s="203"/>
      <c r="L29" s="206"/>
      <c r="M29" s="208"/>
      <c r="N29" s="216"/>
    </row>
    <row r="30" spans="1:16" ht="33.6" customHeight="1" thickBot="1">
      <c r="A30" s="224"/>
      <c r="B30" s="199"/>
      <c r="C30" s="200"/>
      <c r="D30" s="200"/>
      <c r="E30" s="200"/>
      <c r="F30" s="20" t="s">
        <v>11</v>
      </c>
      <c r="G30" s="73">
        <v>0.12</v>
      </c>
      <c r="H30" s="45" t="s">
        <v>154</v>
      </c>
      <c r="I30" s="33"/>
      <c r="J30" s="201"/>
      <c r="K30" s="203"/>
      <c r="L30" s="206"/>
      <c r="M30" s="208"/>
      <c r="N30" s="216"/>
    </row>
    <row r="31" spans="1:16" ht="13.2" customHeight="1">
      <c r="A31" s="223" t="s">
        <v>97</v>
      </c>
      <c r="B31" s="226" t="s">
        <v>155</v>
      </c>
      <c r="C31" s="228">
        <v>5</v>
      </c>
      <c r="D31" s="228">
        <v>9.1</v>
      </c>
      <c r="E31" s="230">
        <v>0.4</v>
      </c>
      <c r="F31" s="18" t="s">
        <v>19</v>
      </c>
      <c r="G31" s="72">
        <v>0.82</v>
      </c>
      <c r="H31" s="18" t="s">
        <v>43</v>
      </c>
      <c r="I31" s="30"/>
      <c r="J31" s="213">
        <f>IF(G31=1, I31, SUMPRODUCT(I31:I34, G31:G34))</f>
        <v>0</v>
      </c>
      <c r="K31" s="218">
        <f>SUMIF(I31:I34, "&lt;&gt;", G31:G34) / SUMIF(G31:G34, "&lt;&gt;")</f>
        <v>0</v>
      </c>
      <c r="L31" s="219" t="str">
        <f>IFERROR(J31/K31, "No grades yet")</f>
        <v>No grades yet</v>
      </c>
      <c r="M31" s="213">
        <f>IFERROR(IF(K31 = 1, "Completed module", IF(((70 - J31) / (1 - K31)) &gt; 100, "Unattainable", IF(((70 - J31) / (1 - K31)) &lt; 0, "Already attained", ((70 - J31) / (1 - K31))))), "-")</f>
        <v>70</v>
      </c>
      <c r="N31" s="215">
        <f>IFERROR(IF(K31 = 1, "Completed module", IF(((60 - J31) / (1 - K31)) &gt; 100, "Unattainable", IF(((60 - J31) / (1 - K31)) &lt; 0, "Already attained", ((60 - J31) / (1 - K31))))), "-")</f>
        <v>60</v>
      </c>
    </row>
    <row r="32" spans="1:16" ht="13.2" customHeight="1">
      <c r="A32" s="224"/>
      <c r="B32" s="199"/>
      <c r="C32" s="200"/>
      <c r="D32" s="200"/>
      <c r="E32" s="200"/>
      <c r="F32" s="19" t="s">
        <v>31</v>
      </c>
      <c r="G32" s="73">
        <v>0.06</v>
      </c>
      <c r="H32" s="20" t="s">
        <v>99</v>
      </c>
      <c r="I32" s="31"/>
      <c r="J32" s="201"/>
      <c r="K32" s="203"/>
      <c r="L32" s="206"/>
      <c r="M32" s="208"/>
      <c r="N32" s="216"/>
    </row>
    <row r="33" spans="1:14" ht="13.2" customHeight="1">
      <c r="A33" s="224"/>
      <c r="B33" s="199"/>
      <c r="C33" s="200"/>
      <c r="D33" s="200"/>
      <c r="E33" s="200"/>
      <c r="F33" s="20" t="s">
        <v>31</v>
      </c>
      <c r="G33" s="73">
        <v>0.06</v>
      </c>
      <c r="H33" s="32" t="s">
        <v>100</v>
      </c>
      <c r="I33" s="31"/>
      <c r="J33" s="201"/>
      <c r="K33" s="203"/>
      <c r="L33" s="206"/>
      <c r="M33" s="208"/>
      <c r="N33" s="216"/>
    </row>
    <row r="34" spans="1:14" ht="13.2" customHeight="1" thickBot="1">
      <c r="A34" s="224"/>
      <c r="B34" s="199"/>
      <c r="C34" s="200"/>
      <c r="D34" s="200"/>
      <c r="E34" s="200"/>
      <c r="F34" s="20" t="s">
        <v>31</v>
      </c>
      <c r="G34" s="73">
        <v>0.06</v>
      </c>
      <c r="H34" s="20" t="s">
        <v>101</v>
      </c>
      <c r="I34" s="33"/>
      <c r="J34" s="201"/>
      <c r="K34" s="203"/>
      <c r="L34" s="206"/>
      <c r="M34" s="208"/>
      <c r="N34" s="216"/>
    </row>
    <row r="35" spans="1:14" ht="13.2" customHeight="1">
      <c r="A35" s="223" t="s">
        <v>156</v>
      </c>
      <c r="B35" s="226" t="s">
        <v>157</v>
      </c>
      <c r="C35" s="228">
        <v>5</v>
      </c>
      <c r="D35" s="228">
        <v>9.1</v>
      </c>
      <c r="E35" s="230">
        <v>0.4</v>
      </c>
      <c r="F35" s="18" t="s">
        <v>158</v>
      </c>
      <c r="G35" s="72">
        <v>0.3</v>
      </c>
      <c r="H35" s="18" t="s">
        <v>158</v>
      </c>
      <c r="I35" s="30"/>
      <c r="J35" s="213">
        <f>IF(G35=1, I35, SUMPRODUCT(I35:I39, G35:G39))</f>
        <v>0</v>
      </c>
      <c r="K35" s="218">
        <f>SUMIF(I35:I39, "&lt;&gt;", G35:G39) / SUMIF(G35:G39, "&lt;&gt;")</f>
        <v>0</v>
      </c>
      <c r="L35" s="219" t="str">
        <f>IFERROR(J35/K35, "No grades yet")</f>
        <v>No grades yet</v>
      </c>
      <c r="M35" s="213">
        <f>IFERROR(IF(K35 = 1, "Completed module", IF(((70 - J35) / (1 - K35)) &gt; 100, "Unattainable", IF(((70 - J35) / (1 - K35)) &lt; 0, "Already attained", ((70 - J35) / (1 - K35))))), "-")</f>
        <v>70</v>
      </c>
      <c r="N35" s="215">
        <f>IFERROR(IF(K35 = 1, "Completed module", IF(((60 - J35) / (1 - K35)) &gt; 100, "Unattainable", IF(((60 - J35) / (1 - K35)) &lt; 0, "Already attained", ((60 - J35) / (1 - K35))))), "-")</f>
        <v>60</v>
      </c>
    </row>
    <row r="36" spans="1:14" ht="13.2" customHeight="1">
      <c r="A36" s="224"/>
      <c r="B36" s="199"/>
      <c r="C36" s="200"/>
      <c r="D36" s="200"/>
      <c r="E36" s="200"/>
      <c r="F36" s="19" t="s">
        <v>11</v>
      </c>
      <c r="G36" s="73">
        <v>0.1</v>
      </c>
      <c r="H36" s="20" t="s">
        <v>159</v>
      </c>
      <c r="I36" s="31"/>
      <c r="J36" s="201"/>
      <c r="K36" s="203"/>
      <c r="L36" s="206"/>
      <c r="M36" s="208"/>
      <c r="N36" s="216"/>
    </row>
    <row r="37" spans="1:14" ht="13.2" customHeight="1">
      <c r="A37" s="224"/>
      <c r="B37" s="199"/>
      <c r="C37" s="200"/>
      <c r="D37" s="200"/>
      <c r="E37" s="200"/>
      <c r="F37" s="20" t="s">
        <v>11</v>
      </c>
      <c r="G37" s="73">
        <v>0.1</v>
      </c>
      <c r="H37" s="32" t="s">
        <v>160</v>
      </c>
      <c r="I37" s="31"/>
      <c r="J37" s="201"/>
      <c r="K37" s="203"/>
      <c r="L37" s="206"/>
      <c r="M37" s="208"/>
      <c r="N37" s="216"/>
    </row>
    <row r="38" spans="1:14" ht="13.2" customHeight="1">
      <c r="A38" s="224"/>
      <c r="B38" s="199"/>
      <c r="C38" s="200"/>
      <c r="D38" s="200"/>
      <c r="E38" s="200"/>
      <c r="F38" s="20" t="s">
        <v>13</v>
      </c>
      <c r="G38" s="73">
        <v>0.4</v>
      </c>
      <c r="H38" s="20" t="s">
        <v>161</v>
      </c>
      <c r="I38" s="33"/>
      <c r="J38" s="201"/>
      <c r="K38" s="203"/>
      <c r="L38" s="206"/>
      <c r="M38" s="208"/>
      <c r="N38" s="216"/>
    </row>
    <row r="39" spans="1:14" ht="13.2" customHeight="1" thickBot="1">
      <c r="A39" s="225"/>
      <c r="B39" s="227"/>
      <c r="C39" s="229"/>
      <c r="D39" s="229"/>
      <c r="E39" s="229"/>
      <c r="F39" s="21" t="s">
        <v>11</v>
      </c>
      <c r="G39" s="73">
        <v>0.1</v>
      </c>
      <c r="H39" s="32" t="s">
        <v>162</v>
      </c>
      <c r="I39" s="34"/>
      <c r="J39" s="220"/>
      <c r="K39" s="221"/>
      <c r="L39" s="222"/>
      <c r="M39" s="214"/>
      <c r="N39" s="217"/>
    </row>
    <row r="40" spans="1:14" ht="13.2" customHeight="1">
      <c r="A40" s="223" t="s">
        <v>102</v>
      </c>
      <c r="B40" s="226" t="s">
        <v>103</v>
      </c>
      <c r="C40" s="228">
        <v>5</v>
      </c>
      <c r="D40" s="228">
        <v>9.1</v>
      </c>
      <c r="E40" s="230">
        <v>0.4</v>
      </c>
      <c r="F40" s="18" t="s">
        <v>19</v>
      </c>
      <c r="G40" s="72">
        <v>0.8</v>
      </c>
      <c r="H40" s="18" t="s">
        <v>43</v>
      </c>
      <c r="I40" s="30"/>
      <c r="J40" s="213">
        <f>IF(G40=1, I40, SUMPRODUCT(I40:I41, G40:G41))</f>
        <v>0</v>
      </c>
      <c r="K40" s="218">
        <f>SUMIF(I40:I41, "&lt;&gt;", G40:G41) / SUMIF(G40:G41, "&lt;&gt;")</f>
        <v>0</v>
      </c>
      <c r="L40" s="219" t="str">
        <f>IFERROR(J40/K40, "No grades yet")</f>
        <v>No grades yet</v>
      </c>
      <c r="M40" s="213">
        <f>IFERROR(IF(K40 = 1, "Completed module", IF(((70 - J40) / (1 - K40)) &gt; 100, "Unattainable", IF(((70 - J40) / (1 - K40)) &lt; 0, "Already attained", ((70 - J40) / (1 - K40))))), "-")</f>
        <v>70</v>
      </c>
      <c r="N40" s="215">
        <f>IFERROR(IF(K40 = 1, "Completed module", IF(((60 - J40) / (1 - K40)) &gt; 100, "Unattainable", IF(((60 - J40) / (1 - K40)) &lt; 0, "Already attained", ((60 - J40) / (1 - K40))))), "-")</f>
        <v>60</v>
      </c>
    </row>
    <row r="41" spans="1:14" ht="13.8" thickBot="1">
      <c r="A41" s="224"/>
      <c r="B41" s="199"/>
      <c r="C41" s="200"/>
      <c r="D41" s="200"/>
      <c r="E41" s="200"/>
      <c r="F41" s="19" t="s">
        <v>49</v>
      </c>
      <c r="G41" s="73">
        <v>0.2</v>
      </c>
      <c r="H41" s="20" t="s">
        <v>49</v>
      </c>
      <c r="I41" s="31"/>
      <c r="J41" s="201"/>
      <c r="K41" s="203"/>
      <c r="L41" s="206"/>
      <c r="M41" s="208"/>
      <c r="N41" s="216"/>
    </row>
    <row r="42" spans="1:14" ht="13.2" customHeight="1">
      <c r="A42" s="223" t="s">
        <v>163</v>
      </c>
      <c r="B42" s="226" t="s">
        <v>164</v>
      </c>
      <c r="C42" s="228">
        <v>5</v>
      </c>
      <c r="D42" s="228">
        <v>9.1</v>
      </c>
      <c r="E42" s="230">
        <v>0.4</v>
      </c>
      <c r="F42" s="18" t="s">
        <v>19</v>
      </c>
      <c r="G42" s="72">
        <v>0.5</v>
      </c>
      <c r="H42" s="18" t="s">
        <v>43</v>
      </c>
      <c r="I42" s="30"/>
      <c r="J42" s="213">
        <f>IF(G42=1, I42, SUMPRODUCT(I42:I45, G42:G45))</f>
        <v>0</v>
      </c>
      <c r="K42" s="218">
        <f>SUMIF(I42:I45, "&lt;&gt;", G42:G45) / SUMIF(G42:G45, "&lt;&gt;")</f>
        <v>0</v>
      </c>
      <c r="L42" s="219" t="str">
        <f>IFERROR(J42/K42, "No grades yet")</f>
        <v>No grades yet</v>
      </c>
      <c r="M42" s="213">
        <f>IFERROR(IF(K42 = 1, "Completed module", IF(((70 - J42) / (1 - K42)) &gt; 100, "Unattainable", IF(((70 - J42) / (1 - K42)) &lt; 0, "Already attained", ((70 - J42) / (1 - K42))))), "-")</f>
        <v>70</v>
      </c>
      <c r="N42" s="215">
        <f>IFERROR(IF(K42 = 1, "Completed module", IF(((60 - J42) / (1 - K42)) &gt; 100, "Unattainable", IF(((60 - J42) / (1 - K42)) &lt; 0, "Already attained", ((60 - J42) / (1 - K42))))), "-")</f>
        <v>60</v>
      </c>
    </row>
    <row r="43" spans="1:14" ht="13.2" customHeight="1">
      <c r="A43" s="224"/>
      <c r="B43" s="199"/>
      <c r="C43" s="200"/>
      <c r="D43" s="200"/>
      <c r="E43" s="200"/>
      <c r="F43" s="19" t="s">
        <v>34</v>
      </c>
      <c r="G43" s="73">
        <v>0.15</v>
      </c>
      <c r="H43" s="20" t="s">
        <v>44</v>
      </c>
      <c r="I43" s="31"/>
      <c r="J43" s="201"/>
      <c r="K43" s="203"/>
      <c r="L43" s="206"/>
      <c r="M43" s="208"/>
      <c r="N43" s="216"/>
    </row>
    <row r="44" spans="1:14" ht="13.2" customHeight="1">
      <c r="A44" s="224"/>
      <c r="B44" s="199"/>
      <c r="C44" s="200"/>
      <c r="D44" s="200"/>
      <c r="E44" s="200"/>
      <c r="F44" s="20" t="s">
        <v>34</v>
      </c>
      <c r="G44" s="73">
        <v>0.15</v>
      </c>
      <c r="H44" s="32" t="s">
        <v>45</v>
      </c>
      <c r="I44" s="31"/>
      <c r="J44" s="201"/>
      <c r="K44" s="203"/>
      <c r="L44" s="206"/>
      <c r="M44" s="208"/>
      <c r="N44" s="216"/>
    </row>
    <row r="45" spans="1:14" ht="13.8" thickBot="1">
      <c r="A45" s="224"/>
      <c r="B45" s="199"/>
      <c r="C45" s="200"/>
      <c r="D45" s="200"/>
      <c r="E45" s="200"/>
      <c r="F45" s="20" t="s">
        <v>49</v>
      </c>
      <c r="G45" s="73">
        <v>0.2</v>
      </c>
      <c r="H45" s="20" t="s">
        <v>49</v>
      </c>
      <c r="I45" s="33"/>
      <c r="J45" s="201"/>
      <c r="K45" s="203"/>
      <c r="L45" s="206"/>
      <c r="M45" s="208"/>
      <c r="N45" s="216"/>
    </row>
    <row r="46" spans="1:14" ht="13.2" customHeight="1">
      <c r="A46" s="223" t="s">
        <v>104</v>
      </c>
      <c r="B46" s="226" t="s">
        <v>165</v>
      </c>
      <c r="C46" s="228">
        <v>5</v>
      </c>
      <c r="D46" s="228">
        <v>9.1</v>
      </c>
      <c r="E46" s="230">
        <v>0.4</v>
      </c>
      <c r="F46" s="18" t="s">
        <v>11</v>
      </c>
      <c r="G46" s="72">
        <v>0.7</v>
      </c>
      <c r="H46" s="18" t="s">
        <v>106</v>
      </c>
      <c r="I46" s="30"/>
      <c r="J46" s="213">
        <f>IF(G46=1, I46, SUMPRODUCT(I46:I48, G46:G48))</f>
        <v>0</v>
      </c>
      <c r="K46" s="218">
        <f>SUMIF(I46:I48, "&lt;&gt;", G46:G48) / SUMIF(G46:G48, "&lt;&gt;")</f>
        <v>0</v>
      </c>
      <c r="L46" s="219" t="str">
        <f>IFERROR(J46/K46, "No grades yet")</f>
        <v>No grades yet</v>
      </c>
      <c r="M46" s="213">
        <f>IFERROR(IF(K46 = 1, "Completed module", IF(((70 - J46) / (1 - K46)) &gt; 100, "Unattainable", IF(((70 - J46) / (1 - K46)) &lt; 0, "Already attained", ((70 - J46) / (1 - K46))))), "-")</f>
        <v>70</v>
      </c>
      <c r="N46" s="215">
        <f>IFERROR(IF(K46 = 1, "Completed module", IF(((60 - J46) / (1 - K46)) &gt; 100, "Unattainable", IF(((60 - J46) / (1 - K46)) &lt; 0, "Already attained", ((60 - J46) / (1 - K46))))), "-")</f>
        <v>60</v>
      </c>
    </row>
    <row r="47" spans="1:14" ht="13.2" customHeight="1">
      <c r="A47" s="224"/>
      <c r="B47" s="199"/>
      <c r="C47" s="200"/>
      <c r="D47" s="200"/>
      <c r="E47" s="200"/>
      <c r="F47" s="19" t="s">
        <v>22</v>
      </c>
      <c r="G47" s="73">
        <v>0.15</v>
      </c>
      <c r="H47" s="20" t="s">
        <v>107</v>
      </c>
      <c r="I47" s="31"/>
      <c r="J47" s="201"/>
      <c r="K47" s="203"/>
      <c r="L47" s="206"/>
      <c r="M47" s="208"/>
      <c r="N47" s="216"/>
    </row>
    <row r="48" spans="1:14" ht="13.2" customHeight="1" thickBot="1">
      <c r="A48" s="224"/>
      <c r="B48" s="199"/>
      <c r="C48" s="200"/>
      <c r="D48" s="200"/>
      <c r="E48" s="200"/>
      <c r="F48" s="20" t="s">
        <v>13</v>
      </c>
      <c r="G48" s="73">
        <v>0.15</v>
      </c>
      <c r="H48" s="32" t="s">
        <v>108</v>
      </c>
      <c r="I48" s="31"/>
      <c r="J48" s="201"/>
      <c r="K48" s="203"/>
      <c r="L48" s="206"/>
      <c r="M48" s="208"/>
      <c r="N48" s="216"/>
    </row>
    <row r="49" spans="1:14" ht="13.2" customHeight="1">
      <c r="A49" s="223" t="s">
        <v>78</v>
      </c>
      <c r="B49" s="226" t="s">
        <v>166</v>
      </c>
      <c r="C49" s="228">
        <v>5</v>
      </c>
      <c r="D49" s="228">
        <v>9.1</v>
      </c>
      <c r="E49" s="230">
        <v>0.4</v>
      </c>
      <c r="F49" s="18" t="s">
        <v>19</v>
      </c>
      <c r="G49" s="72">
        <v>0.67</v>
      </c>
      <c r="H49" s="18" t="s">
        <v>43</v>
      </c>
      <c r="I49" s="30"/>
      <c r="J49" s="213">
        <f>IF(G49=1, I49, SUMPRODUCT(I49:I50, G49:G50))</f>
        <v>0</v>
      </c>
      <c r="K49" s="218">
        <f>SUMIF(I49:I50, "&lt;&gt;", G49:G50) / SUMIF(G49:G50, "&lt;&gt;")</f>
        <v>0</v>
      </c>
      <c r="L49" s="219" t="str">
        <f>IFERROR(J49/K49, "No grades yet")</f>
        <v>No grades yet</v>
      </c>
      <c r="M49" s="213">
        <f>IFERROR(IF(K49 = 1, "Completed module", IF(((70 - J49) / (1 - K49)) &gt; 100, "Unattainable", IF(((70 - J49) / (1 - K49)) &lt; 0, "Already attained", ((70 - J49) / (1 - K49))))), "-")</f>
        <v>70</v>
      </c>
      <c r="N49" s="215">
        <f>IFERROR(IF(K49 = 1, "Completed module", IF(((60 - J49) / (1 - K49)) &gt; 100, "Unattainable", IF(((60 - J49) / (1 - K49)) &lt; 0, "Already attained", ((60 - J49) / (1 - K49))))), "-")</f>
        <v>60</v>
      </c>
    </row>
    <row r="50" spans="1:14" ht="13.2" customHeight="1" thickBot="1">
      <c r="A50" s="224"/>
      <c r="B50" s="199"/>
      <c r="C50" s="200"/>
      <c r="D50" s="200"/>
      <c r="E50" s="200"/>
      <c r="F50" s="19" t="s">
        <v>11</v>
      </c>
      <c r="G50" s="73">
        <v>0.33</v>
      </c>
      <c r="H50" s="20" t="s">
        <v>80</v>
      </c>
      <c r="I50" s="31"/>
      <c r="J50" s="201"/>
      <c r="K50" s="203"/>
      <c r="L50" s="206"/>
      <c r="M50" s="208"/>
      <c r="N50" s="216"/>
    </row>
    <row r="51" spans="1:14" ht="13.2" customHeight="1">
      <c r="A51" s="223" t="s">
        <v>109</v>
      </c>
      <c r="B51" s="226" t="s">
        <v>167</v>
      </c>
      <c r="C51" s="228">
        <v>5</v>
      </c>
      <c r="D51" s="228">
        <v>9.1</v>
      </c>
      <c r="E51" s="230">
        <v>0.4</v>
      </c>
      <c r="F51" s="18" t="s">
        <v>19</v>
      </c>
      <c r="G51" s="72">
        <v>0.6</v>
      </c>
      <c r="H51" s="18" t="s">
        <v>43</v>
      </c>
      <c r="I51" s="30"/>
      <c r="J51" s="213">
        <f>IF(G51=1, I51, SUMPRODUCT(I51:I52, G51:G52))</f>
        <v>0</v>
      </c>
      <c r="K51" s="218">
        <f>SUMIF(I51:I52, "&lt;&gt;", G51:G52) / SUMIF(G51:G52, "&lt;&gt;")</f>
        <v>0</v>
      </c>
      <c r="L51" s="219" t="str">
        <f>IFERROR(J51/K51, "No grades yet")</f>
        <v>No grades yet</v>
      </c>
      <c r="M51" s="213">
        <f>IFERROR(IF(K51 = 1, "Completed module", IF(((70 - J51) / (1 - K51)) &gt; 100, "Unattainable", IF(((70 - J51) / (1 - K51)) &lt; 0, "Already attained", ((70 - J51) / (1 - K51))))), "-")</f>
        <v>70</v>
      </c>
      <c r="N51" s="215">
        <f>IFERROR(IF(K51 = 1, "Completed module", IF(((60 - J51) / (1 - K51)) &gt; 100, "Unattainable", IF(((60 - J51) / (1 - K51)) &lt; 0, "Already attained", ((60 - J51) / (1 - K51))))), "-")</f>
        <v>60</v>
      </c>
    </row>
    <row r="52" spans="1:14" ht="17.399999999999999" customHeight="1" thickBot="1">
      <c r="A52" s="224"/>
      <c r="B52" s="199"/>
      <c r="C52" s="200"/>
      <c r="D52" s="200"/>
      <c r="E52" s="200"/>
      <c r="F52" s="19" t="s">
        <v>15</v>
      </c>
      <c r="G52" s="73">
        <v>0.4</v>
      </c>
      <c r="H52" s="20" t="s">
        <v>111</v>
      </c>
      <c r="I52" s="31"/>
      <c r="J52" s="201"/>
      <c r="K52" s="203"/>
      <c r="L52" s="206"/>
      <c r="M52" s="208"/>
      <c r="N52" s="216"/>
    </row>
    <row r="53" spans="1:14" ht="13.2" customHeight="1" thickBot="1">
      <c r="A53" s="7" t="s">
        <v>112</v>
      </c>
      <c r="B53" s="6" t="s">
        <v>168</v>
      </c>
      <c r="C53" s="1">
        <v>5</v>
      </c>
      <c r="D53" s="1">
        <v>9.1</v>
      </c>
      <c r="E53" s="8">
        <v>0.4</v>
      </c>
      <c r="F53" s="18" t="s">
        <v>19</v>
      </c>
      <c r="G53" s="72">
        <v>1</v>
      </c>
      <c r="H53" s="18" t="s">
        <v>43</v>
      </c>
      <c r="I53" s="30"/>
      <c r="J53" s="2">
        <f>IF(G53=1, I53, SUMPRODUCT(I53:I53, G53:G53))</f>
        <v>0</v>
      </c>
      <c r="K53" s="3">
        <f>SUMIF(I53:I53, "&lt;&gt;", G53:G53) / SUMIF(G53:G53, "&lt;&gt;")</f>
        <v>0</v>
      </c>
      <c r="L53" s="4" t="str">
        <f>IFERROR(J53/K53, "No grades yet")</f>
        <v>No grades yet</v>
      </c>
      <c r="M53" s="2">
        <f>IFERROR(IF(K53 = 1, "Completed module", IF(((70 - J53) / (1 - K53)) &gt; 100, "Unattainable", IF(((70 - J53) / (1 - K53)) &lt; 0, "Already attained", ((70 - J53) / (1 - K53))))), "-")</f>
        <v>70</v>
      </c>
      <c r="N53" s="5">
        <f>IFERROR(IF(K53 = 1, "Completed module", IF(((60 - J53) / (1 - K53)) &gt; 100, "Unattainable", IF(((60 - J53) / (1 - K53)) &lt; 0, "Already attained", ((60 - J53) / (1 - K53))))), "-")</f>
        <v>60</v>
      </c>
    </row>
    <row r="54" spans="1:14" ht="13.2" customHeight="1">
      <c r="A54" s="223" t="s">
        <v>114</v>
      </c>
      <c r="B54" s="226" t="s">
        <v>115</v>
      </c>
      <c r="C54" s="228">
        <v>5</v>
      </c>
      <c r="D54" s="228">
        <v>9.1</v>
      </c>
      <c r="E54" s="230">
        <v>0.5</v>
      </c>
      <c r="F54" s="18" t="s">
        <v>13</v>
      </c>
      <c r="G54" s="72">
        <v>0.2</v>
      </c>
      <c r="H54" s="18" t="s">
        <v>116</v>
      </c>
      <c r="I54" s="30"/>
      <c r="J54" s="213">
        <f>IF(G54=1, I54, SUMPRODUCT(I54:I55, G54:G55))</f>
        <v>0</v>
      </c>
      <c r="K54" s="218">
        <f>SUMIF(I54:I55, "&lt;&gt;", G54:G55) / SUMIF(G54:G55, "&lt;&gt;")</f>
        <v>0</v>
      </c>
      <c r="L54" s="219" t="str">
        <f>IFERROR(J54/K54, "No grades yet")</f>
        <v>No grades yet</v>
      </c>
      <c r="M54" s="213">
        <f>IFERROR(IF(K54 = 1, "Completed module", IF(((70 - J54) / (1 - K54)) &gt; 100, "Unattainable", IF(((70 - J54) / (1 - K54)) &lt; 0, "Already attained", ((70 - J54) / (1 - K54))))), "-")</f>
        <v>70</v>
      </c>
      <c r="N54" s="215">
        <f>IFERROR(IF(K54 = 1, "Completed module", IF(((60 - J54) / (1 - K54)) &gt; 100, "Unattainable", IF(((60 - J54) / (1 - K54)) &lt; 0, "Already attained", ((60 - J54) / (1 - K54))))), "-")</f>
        <v>60</v>
      </c>
    </row>
    <row r="55" spans="1:14" ht="13.2" customHeight="1" thickBot="1">
      <c r="A55" s="224"/>
      <c r="B55" s="199"/>
      <c r="C55" s="200"/>
      <c r="D55" s="200"/>
      <c r="E55" s="200"/>
      <c r="F55" s="19" t="s">
        <v>15</v>
      </c>
      <c r="G55" s="73">
        <v>0.8</v>
      </c>
      <c r="H55" s="20" t="s">
        <v>117</v>
      </c>
      <c r="I55" s="31"/>
      <c r="J55" s="201"/>
      <c r="K55" s="203"/>
      <c r="L55" s="206"/>
      <c r="M55" s="208"/>
      <c r="N55" s="216"/>
    </row>
    <row r="56" spans="1:14" ht="13.2" customHeight="1">
      <c r="A56" s="223" t="s">
        <v>121</v>
      </c>
      <c r="B56" s="226" t="s">
        <v>169</v>
      </c>
      <c r="C56" s="228">
        <v>5</v>
      </c>
      <c r="D56" s="228">
        <v>9.1</v>
      </c>
      <c r="E56" s="230">
        <v>0.5</v>
      </c>
      <c r="F56" s="18" t="s">
        <v>11</v>
      </c>
      <c r="G56" s="72">
        <v>0.3</v>
      </c>
      <c r="H56" s="18" t="s">
        <v>123</v>
      </c>
      <c r="I56" s="30"/>
      <c r="J56" s="213">
        <f>IF(G56=1, I56, SUMPRODUCT(I56:I59, G56:G59))</f>
        <v>0</v>
      </c>
      <c r="K56" s="218">
        <f>SUMIF(I56:I59, "&lt;&gt;", G56:G59) / SUMIF(G56:G59, "&lt;&gt;")</f>
        <v>0</v>
      </c>
      <c r="L56" s="219" t="str">
        <f>IFERROR(J56/K56, "No grades yet")</f>
        <v>No grades yet</v>
      </c>
      <c r="M56" s="213">
        <f>IFERROR(IF(K56 = 1, "Completed module", IF(((70 - J56) / (1 - K56)) &gt; 100, "Unattainable", IF(((70 - J56) / (1 - K56)) &lt; 0, "Already attained", ((70 - J56) / (1 - K56))))), "-")</f>
        <v>70</v>
      </c>
      <c r="N56" s="215">
        <f>IFERROR(IF(K56 = 1, "Completed module", IF(((60 - J56) / (1 - K56)) &gt; 100, "Unattainable", IF(((60 - J56) / (1 - K56)) &lt; 0, "Already attained", ((60 - J56) / (1 - K56))))), "-")</f>
        <v>60</v>
      </c>
    </row>
    <row r="57" spans="1:14">
      <c r="A57" s="224"/>
      <c r="B57" s="199"/>
      <c r="C57" s="200"/>
      <c r="D57" s="200"/>
      <c r="E57" s="200"/>
      <c r="F57" s="19" t="s">
        <v>73</v>
      </c>
      <c r="G57" s="73">
        <v>0.2</v>
      </c>
      <c r="H57" s="20" t="s">
        <v>124</v>
      </c>
      <c r="I57" s="31"/>
      <c r="J57" s="201"/>
      <c r="K57" s="203"/>
      <c r="L57" s="206"/>
      <c r="M57" s="208"/>
      <c r="N57" s="216"/>
    </row>
    <row r="58" spans="1:14" ht="13.2" customHeight="1">
      <c r="A58" s="224"/>
      <c r="B58" s="199"/>
      <c r="C58" s="200"/>
      <c r="D58" s="200"/>
      <c r="E58" s="200"/>
      <c r="F58" s="20" t="s">
        <v>13</v>
      </c>
      <c r="G58" s="73">
        <v>0.2</v>
      </c>
      <c r="H58" s="32" t="s">
        <v>125</v>
      </c>
      <c r="I58" s="31"/>
      <c r="J58" s="201"/>
      <c r="K58" s="203"/>
      <c r="L58" s="206"/>
      <c r="M58" s="208"/>
      <c r="N58" s="216"/>
    </row>
    <row r="59" spans="1:14" ht="13.2" customHeight="1" thickBot="1">
      <c r="A59" s="224"/>
      <c r="B59" s="199"/>
      <c r="C59" s="200"/>
      <c r="D59" s="200"/>
      <c r="E59" s="200"/>
      <c r="F59" s="20" t="s">
        <v>11</v>
      </c>
      <c r="G59" s="73">
        <v>0.3</v>
      </c>
      <c r="H59" s="20" t="s">
        <v>126</v>
      </c>
      <c r="I59" s="33"/>
      <c r="J59" s="201"/>
      <c r="K59" s="203"/>
      <c r="L59" s="206"/>
      <c r="M59" s="208"/>
      <c r="N59" s="216"/>
    </row>
    <row r="60" spans="1:14" ht="13.8" thickBot="1">
      <c r="A60" s="7" t="s">
        <v>170</v>
      </c>
      <c r="B60" s="6" t="s">
        <v>171</v>
      </c>
      <c r="C60" s="1">
        <v>5</v>
      </c>
      <c r="D60" s="1">
        <v>9.1</v>
      </c>
      <c r="E60" s="8">
        <v>0.4</v>
      </c>
      <c r="F60" s="18" t="s">
        <v>172</v>
      </c>
      <c r="G60" s="72"/>
      <c r="H60" s="18"/>
      <c r="I60" s="30"/>
      <c r="J60" s="2" t="e">
        <f t="shared" ref="J60:J68" si="0">IF(G60=1, I60, SUMPRODUCT(I60:I60, G60:G60))</f>
        <v>#VALUE!</v>
      </c>
      <c r="K60" s="3" t="e">
        <f t="shared" ref="K60:K68" si="1">SUMIF(I60:I60, "&lt;&gt;", G60:G60) / SUMIF(G60:G60, "&lt;&gt;")</f>
        <v>#DIV/0!</v>
      </c>
      <c r="L60" s="4" t="str">
        <f t="shared" ref="L60:L68" si="2">IFERROR(J60/K60, "No grades yet")</f>
        <v>No grades yet</v>
      </c>
      <c r="M60" s="2" t="str">
        <f t="shared" ref="M60:M68" si="3">IFERROR(IF(K60 = 1, "Completed module", IF(((70 - J60) / (1 - K60)) &gt; 100, "Unattainable", IF(((70 - J60) / (1 - K60)) &lt; 0, "Already attained", ((70 - J60) / (1 - K60))))), "-")</f>
        <v>-</v>
      </c>
      <c r="N60" s="5" t="str">
        <f t="shared" ref="N60:N68" si="4">IFERROR(IF(K60 = 1, "Completed module", IF(((60 - J60) / (1 - K60)) &gt; 100, "Unattainable", IF(((60 - J60) / (1 - K60)) &lt; 0, "Already attained", ((60 - J60) / (1 - K60))))), "-")</f>
        <v>-</v>
      </c>
    </row>
    <row r="61" spans="1:14" ht="13.2" customHeight="1" thickBot="1">
      <c r="A61" s="7" t="s">
        <v>132</v>
      </c>
      <c r="B61" s="6" t="s">
        <v>173</v>
      </c>
      <c r="C61" s="1">
        <v>5</v>
      </c>
      <c r="D61" s="1">
        <v>9.1</v>
      </c>
      <c r="E61" s="8">
        <v>0.4</v>
      </c>
      <c r="F61" s="18" t="s">
        <v>134</v>
      </c>
      <c r="G61" s="72"/>
      <c r="H61" s="18"/>
      <c r="I61" s="30"/>
      <c r="J61" s="2" t="e">
        <f t="shared" si="0"/>
        <v>#VALUE!</v>
      </c>
      <c r="K61" s="3" t="e">
        <f t="shared" si="1"/>
        <v>#DIV/0!</v>
      </c>
      <c r="L61" s="4" t="str">
        <f t="shared" si="2"/>
        <v>No grades yet</v>
      </c>
      <c r="M61" s="2" t="str">
        <f t="shared" si="3"/>
        <v>-</v>
      </c>
      <c r="N61" s="5" t="str">
        <f t="shared" si="4"/>
        <v>-</v>
      </c>
    </row>
    <row r="62" spans="1:14" ht="13.2" customHeight="1" thickBot="1">
      <c r="A62" s="7" t="s">
        <v>135</v>
      </c>
      <c r="B62" s="6" t="s">
        <v>136</v>
      </c>
      <c r="C62" s="1">
        <v>5</v>
      </c>
      <c r="D62" s="1">
        <v>9.1</v>
      </c>
      <c r="E62" s="8">
        <v>0.4</v>
      </c>
      <c r="F62" s="18" t="s">
        <v>134</v>
      </c>
      <c r="G62" s="72"/>
      <c r="H62" s="18"/>
      <c r="I62" s="30"/>
      <c r="J62" s="2" t="e">
        <f t="shared" si="0"/>
        <v>#VALUE!</v>
      </c>
      <c r="K62" s="3" t="e">
        <f t="shared" si="1"/>
        <v>#DIV/0!</v>
      </c>
      <c r="L62" s="4" t="str">
        <f t="shared" si="2"/>
        <v>No grades yet</v>
      </c>
      <c r="M62" s="2" t="str">
        <f t="shared" si="3"/>
        <v>-</v>
      </c>
      <c r="N62" s="5" t="str">
        <f t="shared" si="4"/>
        <v>-</v>
      </c>
    </row>
    <row r="63" spans="1:14" ht="13.2" customHeight="1" thickBot="1">
      <c r="A63" s="7" t="s">
        <v>137</v>
      </c>
      <c r="B63" s="6" t="s">
        <v>138</v>
      </c>
      <c r="C63" s="1">
        <v>5</v>
      </c>
      <c r="D63" s="1">
        <v>9.1</v>
      </c>
      <c r="E63" s="8">
        <v>0.4</v>
      </c>
      <c r="F63" s="18" t="s">
        <v>134</v>
      </c>
      <c r="G63" s="72"/>
      <c r="H63" s="18"/>
      <c r="I63" s="30"/>
      <c r="J63" s="2" t="e">
        <f t="shared" si="0"/>
        <v>#VALUE!</v>
      </c>
      <c r="K63" s="3" t="e">
        <f t="shared" si="1"/>
        <v>#DIV/0!</v>
      </c>
      <c r="L63" s="4" t="str">
        <f t="shared" si="2"/>
        <v>No grades yet</v>
      </c>
      <c r="M63" s="2" t="str">
        <f t="shared" si="3"/>
        <v>-</v>
      </c>
      <c r="N63" s="5" t="str">
        <f t="shared" si="4"/>
        <v>-</v>
      </c>
    </row>
    <row r="64" spans="1:14" ht="13.2" customHeight="1" thickBot="1">
      <c r="A64" s="7" t="s">
        <v>174</v>
      </c>
      <c r="B64" s="6" t="s">
        <v>175</v>
      </c>
      <c r="C64" s="1">
        <v>5</v>
      </c>
      <c r="D64" s="1">
        <v>9.1</v>
      </c>
      <c r="E64" s="8">
        <v>0.4</v>
      </c>
      <c r="F64" s="18" t="s">
        <v>134</v>
      </c>
      <c r="G64" s="72"/>
      <c r="H64" s="18"/>
      <c r="I64" s="30"/>
      <c r="J64" s="2" t="e">
        <f t="shared" si="0"/>
        <v>#VALUE!</v>
      </c>
      <c r="K64" s="3" t="e">
        <f t="shared" si="1"/>
        <v>#DIV/0!</v>
      </c>
      <c r="L64" s="4" t="str">
        <f t="shared" si="2"/>
        <v>No grades yet</v>
      </c>
      <c r="M64" s="2" t="str">
        <f t="shared" si="3"/>
        <v>-</v>
      </c>
      <c r="N64" s="5" t="str">
        <f t="shared" si="4"/>
        <v>-</v>
      </c>
    </row>
    <row r="65" spans="1:14" ht="13.2" customHeight="1" thickBot="1">
      <c r="A65" s="7" t="s">
        <v>176</v>
      </c>
      <c r="B65" s="6" t="s">
        <v>177</v>
      </c>
      <c r="C65" s="1">
        <v>5</v>
      </c>
      <c r="D65" s="1">
        <v>9.1</v>
      </c>
      <c r="E65" s="8">
        <v>0.4</v>
      </c>
      <c r="F65" s="18" t="s">
        <v>134</v>
      </c>
      <c r="G65" s="72"/>
      <c r="H65" s="18"/>
      <c r="I65" s="30"/>
      <c r="J65" s="2" t="e">
        <f t="shared" si="0"/>
        <v>#VALUE!</v>
      </c>
      <c r="K65" s="3" t="e">
        <f t="shared" si="1"/>
        <v>#DIV/0!</v>
      </c>
      <c r="L65" s="4" t="str">
        <f t="shared" si="2"/>
        <v>No grades yet</v>
      </c>
      <c r="M65" s="2" t="str">
        <f t="shared" si="3"/>
        <v>-</v>
      </c>
      <c r="N65" s="5" t="str">
        <f t="shared" si="4"/>
        <v>-</v>
      </c>
    </row>
    <row r="66" spans="1:14" ht="13.2" customHeight="1" thickBot="1">
      <c r="A66" s="7" t="s">
        <v>178</v>
      </c>
      <c r="B66" s="6" t="s">
        <v>179</v>
      </c>
      <c r="C66" s="1">
        <v>5</v>
      </c>
      <c r="D66" s="1">
        <v>9.1</v>
      </c>
      <c r="E66" s="8">
        <v>0.4</v>
      </c>
      <c r="F66" s="18" t="s">
        <v>180</v>
      </c>
      <c r="G66" s="72"/>
      <c r="H66" s="18"/>
      <c r="I66" s="30"/>
      <c r="J66" s="2" t="e">
        <f t="shared" si="0"/>
        <v>#VALUE!</v>
      </c>
      <c r="K66" s="3" t="e">
        <f t="shared" si="1"/>
        <v>#DIV/0!</v>
      </c>
      <c r="L66" s="4" t="str">
        <f t="shared" si="2"/>
        <v>No grades yet</v>
      </c>
      <c r="M66" s="2" t="str">
        <f t="shared" si="3"/>
        <v>-</v>
      </c>
      <c r="N66" s="5" t="str">
        <f t="shared" si="4"/>
        <v>-</v>
      </c>
    </row>
    <row r="67" spans="1:14" ht="13.2" customHeight="1" thickBot="1">
      <c r="A67" s="7" t="s">
        <v>181</v>
      </c>
      <c r="B67" s="6" t="s">
        <v>182</v>
      </c>
      <c r="C67" s="1">
        <v>5</v>
      </c>
      <c r="D67" s="1">
        <v>9.1</v>
      </c>
      <c r="E67" s="8">
        <v>0.4</v>
      </c>
      <c r="F67" s="54" t="s">
        <v>180</v>
      </c>
      <c r="G67" s="77"/>
      <c r="H67" s="54"/>
      <c r="I67" s="55"/>
      <c r="J67" s="2" t="e">
        <f t="shared" si="0"/>
        <v>#VALUE!</v>
      </c>
      <c r="K67" s="3" t="e">
        <f t="shared" si="1"/>
        <v>#DIV/0!</v>
      </c>
      <c r="L67" s="4" t="str">
        <f t="shared" si="2"/>
        <v>No grades yet</v>
      </c>
      <c r="M67" s="2" t="str">
        <f t="shared" si="3"/>
        <v>-</v>
      </c>
      <c r="N67" s="5" t="str">
        <f t="shared" si="4"/>
        <v>-</v>
      </c>
    </row>
    <row r="68" spans="1:14" ht="13.2" customHeight="1" thickBot="1">
      <c r="A68" s="9" t="s">
        <v>183</v>
      </c>
      <c r="B68" s="10" t="s">
        <v>184</v>
      </c>
      <c r="C68" s="11">
        <v>5</v>
      </c>
      <c r="D68" s="11">
        <v>9.1</v>
      </c>
      <c r="E68" s="12">
        <v>0.4</v>
      </c>
      <c r="F68" s="35" t="s">
        <v>180</v>
      </c>
      <c r="G68" s="78"/>
      <c r="H68" s="35"/>
      <c r="I68" s="36"/>
      <c r="J68" s="13" t="e">
        <f t="shared" si="0"/>
        <v>#VALUE!</v>
      </c>
      <c r="K68" s="14" t="e">
        <f t="shared" si="1"/>
        <v>#DIV/0!</v>
      </c>
      <c r="L68" s="48" t="str">
        <f t="shared" si="2"/>
        <v>No grades yet</v>
      </c>
      <c r="M68" s="13" t="str">
        <f t="shared" si="3"/>
        <v>-</v>
      </c>
      <c r="N68" s="15" t="str">
        <f t="shared" si="4"/>
        <v>-</v>
      </c>
    </row>
  </sheetData>
  <mergeCells count="153">
    <mergeCell ref="J54:J55"/>
    <mergeCell ref="K54:K55"/>
    <mergeCell ref="L54:L55"/>
    <mergeCell ref="N54:N55"/>
    <mergeCell ref="A56:A59"/>
    <mergeCell ref="B56:B59"/>
    <mergeCell ref="C56:C59"/>
    <mergeCell ref="D56:D59"/>
    <mergeCell ref="E56:E59"/>
    <mergeCell ref="J56:J59"/>
    <mergeCell ref="K56:K59"/>
    <mergeCell ref="L56:L59"/>
    <mergeCell ref="N56:N59"/>
    <mergeCell ref="B54:B55"/>
    <mergeCell ref="C54:C55"/>
    <mergeCell ref="D54:D55"/>
    <mergeCell ref="M56:M59"/>
    <mergeCell ref="M54:M55"/>
    <mergeCell ref="A54:A55"/>
    <mergeCell ref="E54:E55"/>
    <mergeCell ref="M40:M41"/>
    <mergeCell ref="N40:N41"/>
    <mergeCell ref="B42:B45"/>
    <mergeCell ref="C42:C45"/>
    <mergeCell ref="D42:D45"/>
    <mergeCell ref="E42:E45"/>
    <mergeCell ref="J42:J45"/>
    <mergeCell ref="K42:K45"/>
    <mergeCell ref="L42:L45"/>
    <mergeCell ref="M42:M45"/>
    <mergeCell ref="N42:N45"/>
    <mergeCell ref="J40:J41"/>
    <mergeCell ref="K40:K41"/>
    <mergeCell ref="L27:L30"/>
    <mergeCell ref="M27:M30"/>
    <mergeCell ref="N27:N30"/>
    <mergeCell ref="B31:B34"/>
    <mergeCell ref="C31:C34"/>
    <mergeCell ref="D31:D34"/>
    <mergeCell ref="E31:E34"/>
    <mergeCell ref="J31:J34"/>
    <mergeCell ref="K31:K34"/>
    <mergeCell ref="L31:L34"/>
    <mergeCell ref="M31:M34"/>
    <mergeCell ref="N31:N34"/>
    <mergeCell ref="K27:K30"/>
    <mergeCell ref="N51:N52"/>
    <mergeCell ref="B35:B39"/>
    <mergeCell ref="C35:C39"/>
    <mergeCell ref="D35:D39"/>
    <mergeCell ref="E35:E39"/>
    <mergeCell ref="J35:J39"/>
    <mergeCell ref="K35:K39"/>
    <mergeCell ref="M49:M50"/>
    <mergeCell ref="J46:J48"/>
    <mergeCell ref="K46:K48"/>
    <mergeCell ref="L46:L48"/>
    <mergeCell ref="N46:N48"/>
    <mergeCell ref="J49:J50"/>
    <mergeCell ref="K49:K50"/>
    <mergeCell ref="L49:L50"/>
    <mergeCell ref="N49:N50"/>
    <mergeCell ref="L35:L39"/>
    <mergeCell ref="M35:M39"/>
    <mergeCell ref="N35:N39"/>
    <mergeCell ref="B40:B41"/>
    <mergeCell ref="C40:C41"/>
    <mergeCell ref="D40:D41"/>
    <mergeCell ref="E40:E41"/>
    <mergeCell ref="L40:L41"/>
    <mergeCell ref="M51:M52"/>
    <mergeCell ref="M46:M48"/>
    <mergeCell ref="A51:A52"/>
    <mergeCell ref="A42:A45"/>
    <mergeCell ref="A46:A48"/>
    <mergeCell ref="B46:B48"/>
    <mergeCell ref="C46:C48"/>
    <mergeCell ref="D46:D48"/>
    <mergeCell ref="E46:E48"/>
    <mergeCell ref="A49:A50"/>
    <mergeCell ref="B49:B50"/>
    <mergeCell ref="C49:C50"/>
    <mergeCell ref="D49:D50"/>
    <mergeCell ref="E49:E50"/>
    <mergeCell ref="B51:B52"/>
    <mergeCell ref="C51:C52"/>
    <mergeCell ref="D51:D52"/>
    <mergeCell ref="E51:E52"/>
    <mergeCell ref="J51:J52"/>
    <mergeCell ref="K51:K52"/>
    <mergeCell ref="L51:L52"/>
    <mergeCell ref="A40:A41"/>
    <mergeCell ref="A35:A39"/>
    <mergeCell ref="A31:A34"/>
    <mergeCell ref="A27:A30"/>
    <mergeCell ref="B27:B30"/>
    <mergeCell ref="C27:C30"/>
    <mergeCell ref="D27:D30"/>
    <mergeCell ref="E27:E30"/>
    <mergeCell ref="J27:J30"/>
    <mergeCell ref="L19:L22"/>
    <mergeCell ref="M19:M22"/>
    <mergeCell ref="N19:N22"/>
    <mergeCell ref="J17:J18"/>
    <mergeCell ref="K17:K18"/>
    <mergeCell ref="A24:B24"/>
    <mergeCell ref="F26:H26"/>
    <mergeCell ref="C19:C22"/>
    <mergeCell ref="D19:D22"/>
    <mergeCell ref="E19:E22"/>
    <mergeCell ref="J19:J22"/>
    <mergeCell ref="K19:K22"/>
    <mergeCell ref="L17:L18"/>
    <mergeCell ref="M17:M18"/>
    <mergeCell ref="N17:N18"/>
    <mergeCell ref="F3:H3"/>
    <mergeCell ref="B17:B18"/>
    <mergeCell ref="C17:C18"/>
    <mergeCell ref="D17:D18"/>
    <mergeCell ref="E17:E18"/>
    <mergeCell ref="A19:A22"/>
    <mergeCell ref="A4:A7"/>
    <mergeCell ref="A8:A11"/>
    <mergeCell ref="A12:A16"/>
    <mergeCell ref="B8:B11"/>
    <mergeCell ref="B19:B22"/>
    <mergeCell ref="A17:A18"/>
    <mergeCell ref="C8:C11"/>
    <mergeCell ref="B4:B7"/>
    <mergeCell ref="C4:C7"/>
    <mergeCell ref="D4:D7"/>
    <mergeCell ref="E4:E7"/>
    <mergeCell ref="J4:J7"/>
    <mergeCell ref="M8:M11"/>
    <mergeCell ref="N8:N11"/>
    <mergeCell ref="B12:B16"/>
    <mergeCell ref="C12:C16"/>
    <mergeCell ref="D12:D16"/>
    <mergeCell ref="E12:E16"/>
    <mergeCell ref="J12:J16"/>
    <mergeCell ref="K12:K16"/>
    <mergeCell ref="L12:L16"/>
    <mergeCell ref="M12:M16"/>
    <mergeCell ref="N12:N16"/>
    <mergeCell ref="D8:D11"/>
    <mergeCell ref="E8:E11"/>
    <mergeCell ref="J8:J11"/>
    <mergeCell ref="K8:K11"/>
    <mergeCell ref="L8:L11"/>
    <mergeCell ref="K4:K7"/>
    <mergeCell ref="L4:L7"/>
    <mergeCell ref="M4:M7"/>
    <mergeCell ref="N4:N7"/>
  </mergeCells>
  <conditionalFormatting sqref="L4:L7">
    <cfRule type="containsText" dxfId="440" priority="184" operator="containsText" text="No grades yet">
      <formula>NOT(ISERROR(SEARCH("No grades yet",L4)))</formula>
    </cfRule>
  </conditionalFormatting>
  <conditionalFormatting sqref="I4:I7 L4:L7">
    <cfRule type="containsBlanks" dxfId="439" priority="183">
      <formula>LEN(TRIM(I4))=0</formula>
    </cfRule>
    <cfRule type="cellIs" dxfId="438" priority="185" operator="greaterThanOrEqual">
      <formula>70</formula>
    </cfRule>
  </conditionalFormatting>
  <conditionalFormatting sqref="I4:I7 L4:L7">
    <cfRule type="cellIs" dxfId="437" priority="186" operator="between">
      <formula>70</formula>
      <formula>60</formula>
    </cfRule>
    <cfRule type="cellIs" dxfId="436" priority="187" operator="between">
      <formula>60</formula>
      <formula>50</formula>
    </cfRule>
    <cfRule type="cellIs" dxfId="435" priority="188" operator="between">
      <formula>40</formula>
      <formula>50</formula>
    </cfRule>
    <cfRule type="cellIs" dxfId="434" priority="189" operator="lessThan">
      <formula>40</formula>
    </cfRule>
  </conditionalFormatting>
  <conditionalFormatting sqref="L8:L11">
    <cfRule type="containsText" dxfId="433" priority="177" operator="containsText" text="No grades yet">
      <formula>NOT(ISERROR(SEARCH("No grades yet",L8)))</formula>
    </cfRule>
  </conditionalFormatting>
  <conditionalFormatting sqref="I8:I11 L8:L11">
    <cfRule type="containsBlanks" dxfId="432" priority="176">
      <formula>LEN(TRIM(I8))=0</formula>
    </cfRule>
    <cfRule type="cellIs" dxfId="431" priority="178" operator="greaterThanOrEqual">
      <formula>70</formula>
    </cfRule>
  </conditionalFormatting>
  <conditionalFormatting sqref="I8:I11 L8:L11">
    <cfRule type="cellIs" dxfId="430" priority="179" operator="between">
      <formula>70</formula>
      <formula>60</formula>
    </cfRule>
    <cfRule type="cellIs" dxfId="429" priority="180" operator="between">
      <formula>60</formula>
      <formula>50</formula>
    </cfRule>
    <cfRule type="cellIs" dxfId="428" priority="181" operator="between">
      <formula>40</formula>
      <formula>50</formula>
    </cfRule>
    <cfRule type="cellIs" dxfId="427" priority="182" operator="lessThan">
      <formula>40</formula>
    </cfRule>
  </conditionalFormatting>
  <conditionalFormatting sqref="L12:L16">
    <cfRule type="containsText" dxfId="426" priority="170" operator="containsText" text="No grades yet">
      <formula>NOT(ISERROR(SEARCH("No grades yet",L12)))</formula>
    </cfRule>
  </conditionalFormatting>
  <conditionalFormatting sqref="I12:I16 L12:L16">
    <cfRule type="containsBlanks" dxfId="425" priority="169">
      <formula>LEN(TRIM(I12))=0</formula>
    </cfRule>
    <cfRule type="cellIs" dxfId="424" priority="171" operator="greaterThanOrEqual">
      <formula>70</formula>
    </cfRule>
  </conditionalFormatting>
  <conditionalFormatting sqref="I12:I16 L12:L16">
    <cfRule type="cellIs" dxfId="423" priority="172" operator="between">
      <formula>70</formula>
      <formula>60</formula>
    </cfRule>
    <cfRule type="cellIs" dxfId="422" priority="173" operator="between">
      <formula>60</formula>
      <formula>50</formula>
    </cfRule>
    <cfRule type="cellIs" dxfId="421" priority="174" operator="between">
      <formula>40</formula>
      <formula>50</formula>
    </cfRule>
    <cfRule type="cellIs" dxfId="420" priority="175" operator="lessThan">
      <formula>40</formula>
    </cfRule>
  </conditionalFormatting>
  <conditionalFormatting sqref="L17:L18">
    <cfRule type="containsText" dxfId="419" priority="163" operator="containsText" text="No grades yet">
      <formula>NOT(ISERROR(SEARCH("No grades yet",L17)))</formula>
    </cfRule>
  </conditionalFormatting>
  <conditionalFormatting sqref="I17:I18 L17:L18">
    <cfRule type="containsBlanks" dxfId="418" priority="162">
      <formula>LEN(TRIM(I17))=0</formula>
    </cfRule>
    <cfRule type="cellIs" dxfId="417" priority="164" operator="greaterThanOrEqual">
      <formula>70</formula>
    </cfRule>
  </conditionalFormatting>
  <conditionalFormatting sqref="I17:I18 L17:L18">
    <cfRule type="cellIs" dxfId="416" priority="165" operator="between">
      <formula>70</formula>
      <formula>60</formula>
    </cfRule>
    <cfRule type="cellIs" dxfId="415" priority="166" operator="between">
      <formula>60</formula>
      <formula>50</formula>
    </cfRule>
    <cfRule type="cellIs" dxfId="414" priority="167" operator="between">
      <formula>40</formula>
      <formula>50</formula>
    </cfRule>
    <cfRule type="cellIs" dxfId="413" priority="168" operator="lessThan">
      <formula>40</formula>
    </cfRule>
  </conditionalFormatting>
  <conditionalFormatting sqref="L19:L22">
    <cfRule type="containsText" dxfId="412" priority="156" operator="containsText" text="No grades yet">
      <formula>NOT(ISERROR(SEARCH("No grades yet",L19)))</formula>
    </cfRule>
  </conditionalFormatting>
  <conditionalFormatting sqref="I19:I22 L19:L22">
    <cfRule type="containsBlanks" dxfId="411" priority="155">
      <formula>LEN(TRIM(I19))=0</formula>
    </cfRule>
    <cfRule type="cellIs" dxfId="410" priority="157" operator="greaterThanOrEqual">
      <formula>70</formula>
    </cfRule>
  </conditionalFormatting>
  <conditionalFormatting sqref="I19:I22 L19:L22">
    <cfRule type="cellIs" dxfId="409" priority="158" operator="between">
      <formula>70</formula>
      <formula>60</formula>
    </cfRule>
    <cfRule type="cellIs" dxfId="408" priority="159" operator="between">
      <formula>60</formula>
      <formula>50</formula>
    </cfRule>
    <cfRule type="cellIs" dxfId="407" priority="160" operator="between">
      <formula>40</formula>
      <formula>50</formula>
    </cfRule>
    <cfRule type="cellIs" dxfId="406" priority="161" operator="lessThan">
      <formula>40</formula>
    </cfRule>
  </conditionalFormatting>
  <conditionalFormatting sqref="L27:L30">
    <cfRule type="containsText" dxfId="405" priority="149" operator="containsText" text="No grades yet">
      <formula>NOT(ISERROR(SEARCH("No grades yet",L27)))</formula>
    </cfRule>
  </conditionalFormatting>
  <conditionalFormatting sqref="I27:I30 L27:L30">
    <cfRule type="containsBlanks" dxfId="404" priority="148">
      <formula>LEN(TRIM(I27))=0</formula>
    </cfRule>
    <cfRule type="cellIs" dxfId="403" priority="150" operator="greaterThanOrEqual">
      <formula>70</formula>
    </cfRule>
  </conditionalFormatting>
  <conditionalFormatting sqref="I27:I30 L27:L30">
    <cfRule type="cellIs" dxfId="402" priority="151" operator="between">
      <formula>70</formula>
      <formula>60</formula>
    </cfRule>
    <cfRule type="cellIs" dxfId="401" priority="152" operator="between">
      <formula>60</formula>
      <formula>50</formula>
    </cfRule>
    <cfRule type="cellIs" dxfId="400" priority="153" operator="between">
      <formula>40</formula>
      <formula>50</formula>
    </cfRule>
    <cfRule type="cellIs" dxfId="399" priority="154" operator="lessThan">
      <formula>40</formula>
    </cfRule>
  </conditionalFormatting>
  <conditionalFormatting sqref="L31:L34">
    <cfRule type="containsText" dxfId="398" priority="142" operator="containsText" text="No grades yet">
      <formula>NOT(ISERROR(SEARCH("No grades yet",L31)))</formula>
    </cfRule>
  </conditionalFormatting>
  <conditionalFormatting sqref="I31:I34 L31:L34">
    <cfRule type="containsBlanks" dxfId="397" priority="141">
      <formula>LEN(TRIM(I31))=0</formula>
    </cfRule>
    <cfRule type="cellIs" dxfId="396" priority="143" operator="greaterThanOrEqual">
      <formula>70</formula>
    </cfRule>
  </conditionalFormatting>
  <conditionalFormatting sqref="I31:I34 L31:L34">
    <cfRule type="cellIs" dxfId="395" priority="144" operator="between">
      <formula>70</formula>
      <formula>60</formula>
    </cfRule>
    <cfRule type="cellIs" dxfId="394" priority="145" operator="between">
      <formula>60</formula>
      <formula>50</formula>
    </cfRule>
    <cfRule type="cellIs" dxfId="393" priority="146" operator="between">
      <formula>40</formula>
      <formula>50</formula>
    </cfRule>
    <cfRule type="cellIs" dxfId="392" priority="147" operator="lessThan">
      <formula>40</formula>
    </cfRule>
  </conditionalFormatting>
  <conditionalFormatting sqref="L35:L39">
    <cfRule type="containsText" dxfId="391" priority="135" operator="containsText" text="No grades yet">
      <formula>NOT(ISERROR(SEARCH("No grades yet",L35)))</formula>
    </cfRule>
  </conditionalFormatting>
  <conditionalFormatting sqref="I35:I39 L35:L39">
    <cfRule type="containsBlanks" dxfId="390" priority="134">
      <formula>LEN(TRIM(I35))=0</formula>
    </cfRule>
    <cfRule type="cellIs" dxfId="389" priority="136" operator="greaterThanOrEqual">
      <formula>70</formula>
    </cfRule>
  </conditionalFormatting>
  <conditionalFormatting sqref="I35:I39 L35:L39">
    <cfRule type="cellIs" dxfId="388" priority="137" operator="between">
      <formula>70</formula>
      <formula>60</formula>
    </cfRule>
    <cfRule type="cellIs" dxfId="387" priority="138" operator="between">
      <formula>60</formula>
      <formula>50</formula>
    </cfRule>
    <cfRule type="cellIs" dxfId="386" priority="139" operator="between">
      <formula>40</formula>
      <formula>50</formula>
    </cfRule>
    <cfRule type="cellIs" dxfId="385" priority="140" operator="lessThan">
      <formula>40</formula>
    </cfRule>
  </conditionalFormatting>
  <conditionalFormatting sqref="L40:L41">
    <cfRule type="containsText" dxfId="384" priority="128" operator="containsText" text="No grades yet">
      <formula>NOT(ISERROR(SEARCH("No grades yet",L40)))</formula>
    </cfRule>
  </conditionalFormatting>
  <conditionalFormatting sqref="I40:I41 L40:L41">
    <cfRule type="containsBlanks" dxfId="383" priority="127">
      <formula>LEN(TRIM(I40))=0</formula>
    </cfRule>
    <cfRule type="cellIs" dxfId="382" priority="129" operator="greaterThanOrEqual">
      <formula>70</formula>
    </cfRule>
  </conditionalFormatting>
  <conditionalFormatting sqref="I40:I41 L40:L41">
    <cfRule type="cellIs" dxfId="381" priority="130" operator="between">
      <formula>70</formula>
      <formula>60</formula>
    </cfRule>
    <cfRule type="cellIs" dxfId="380" priority="131" operator="between">
      <formula>60</formula>
      <formula>50</formula>
    </cfRule>
    <cfRule type="cellIs" dxfId="379" priority="132" operator="between">
      <formula>40</formula>
      <formula>50</formula>
    </cfRule>
    <cfRule type="cellIs" dxfId="378" priority="133" operator="lessThan">
      <formula>40</formula>
    </cfRule>
  </conditionalFormatting>
  <conditionalFormatting sqref="L42:L45">
    <cfRule type="containsText" dxfId="377" priority="121" operator="containsText" text="No grades yet">
      <formula>NOT(ISERROR(SEARCH("No grades yet",L42)))</formula>
    </cfRule>
  </conditionalFormatting>
  <conditionalFormatting sqref="I42:I45 L42:L45">
    <cfRule type="containsBlanks" dxfId="376" priority="120">
      <formula>LEN(TRIM(I42))=0</formula>
    </cfRule>
    <cfRule type="cellIs" dxfId="375" priority="122" operator="greaterThanOrEqual">
      <formula>70</formula>
    </cfRule>
  </conditionalFormatting>
  <conditionalFormatting sqref="I42:I45 L42:L45">
    <cfRule type="cellIs" dxfId="374" priority="123" operator="between">
      <formula>70</formula>
      <formula>60</formula>
    </cfRule>
    <cfRule type="cellIs" dxfId="373" priority="124" operator="between">
      <formula>60</formula>
      <formula>50</formula>
    </cfRule>
    <cfRule type="cellIs" dxfId="372" priority="125" operator="between">
      <formula>40</formula>
      <formula>50</formula>
    </cfRule>
    <cfRule type="cellIs" dxfId="371" priority="126" operator="lessThan">
      <formula>40</formula>
    </cfRule>
  </conditionalFormatting>
  <conditionalFormatting sqref="L46:L48">
    <cfRule type="containsText" dxfId="370" priority="114" operator="containsText" text="No grades yet">
      <formula>NOT(ISERROR(SEARCH("No grades yet",L46)))</formula>
    </cfRule>
  </conditionalFormatting>
  <conditionalFormatting sqref="I46:I48 L46:L48">
    <cfRule type="containsBlanks" dxfId="369" priority="113">
      <formula>LEN(TRIM(I46))=0</formula>
    </cfRule>
    <cfRule type="cellIs" dxfId="368" priority="115" operator="greaterThanOrEqual">
      <formula>70</formula>
    </cfRule>
  </conditionalFormatting>
  <conditionalFormatting sqref="I46:I48 L46:L48">
    <cfRule type="cellIs" dxfId="367" priority="116" operator="between">
      <formula>70</formula>
      <formula>60</formula>
    </cfRule>
    <cfRule type="cellIs" dxfId="366" priority="117" operator="between">
      <formula>60</formula>
      <formula>50</formula>
    </cfRule>
    <cfRule type="cellIs" dxfId="365" priority="118" operator="between">
      <formula>40</formula>
      <formula>50</formula>
    </cfRule>
    <cfRule type="cellIs" dxfId="364" priority="119" operator="lessThan">
      <formula>40</formula>
    </cfRule>
  </conditionalFormatting>
  <conditionalFormatting sqref="L49:L50">
    <cfRule type="containsText" dxfId="363" priority="107" operator="containsText" text="No grades yet">
      <formula>NOT(ISERROR(SEARCH("No grades yet",L49)))</formula>
    </cfRule>
  </conditionalFormatting>
  <conditionalFormatting sqref="I49:I50 L49:L50">
    <cfRule type="containsBlanks" dxfId="362" priority="106">
      <formula>LEN(TRIM(I49))=0</formula>
    </cfRule>
    <cfRule type="cellIs" dxfId="361" priority="108" operator="greaterThanOrEqual">
      <formula>70</formula>
    </cfRule>
  </conditionalFormatting>
  <conditionalFormatting sqref="I49:I50 L49:L50">
    <cfRule type="cellIs" dxfId="360" priority="109" operator="between">
      <formula>70</formula>
      <formula>60</formula>
    </cfRule>
    <cfRule type="cellIs" dxfId="359" priority="110" operator="between">
      <formula>60</formula>
      <formula>50</formula>
    </cfRule>
    <cfRule type="cellIs" dxfId="358" priority="111" operator="between">
      <formula>40</formula>
      <formula>50</formula>
    </cfRule>
    <cfRule type="cellIs" dxfId="357" priority="112" operator="lessThan">
      <formula>40</formula>
    </cfRule>
  </conditionalFormatting>
  <conditionalFormatting sqref="L51:L52">
    <cfRule type="containsText" dxfId="356" priority="100" operator="containsText" text="No grades yet">
      <formula>NOT(ISERROR(SEARCH("No grades yet",L51)))</formula>
    </cfRule>
  </conditionalFormatting>
  <conditionalFormatting sqref="I51:I52 L51:L52">
    <cfRule type="containsBlanks" dxfId="355" priority="99">
      <formula>LEN(TRIM(I51))=0</formula>
    </cfRule>
    <cfRule type="cellIs" dxfId="354" priority="101" operator="greaterThanOrEqual">
      <formula>70</formula>
    </cfRule>
  </conditionalFormatting>
  <conditionalFormatting sqref="I51:I52 L51:L52">
    <cfRule type="cellIs" dxfId="353" priority="102" operator="between">
      <formula>70</formula>
      <formula>60</formula>
    </cfRule>
    <cfRule type="cellIs" dxfId="352" priority="103" operator="between">
      <formula>60</formula>
      <formula>50</formula>
    </cfRule>
    <cfRule type="cellIs" dxfId="351" priority="104" operator="between">
      <formula>40</formula>
      <formula>50</formula>
    </cfRule>
    <cfRule type="cellIs" dxfId="350" priority="105" operator="lessThan">
      <formula>40</formula>
    </cfRule>
  </conditionalFormatting>
  <conditionalFormatting sqref="L53">
    <cfRule type="containsText" dxfId="349" priority="93" operator="containsText" text="No grades yet">
      <formula>NOT(ISERROR(SEARCH("No grades yet",L53)))</formula>
    </cfRule>
  </conditionalFormatting>
  <conditionalFormatting sqref="I53 L53">
    <cfRule type="containsBlanks" dxfId="348" priority="92">
      <formula>LEN(TRIM(I53))=0</formula>
    </cfRule>
    <cfRule type="cellIs" dxfId="347" priority="94" operator="greaterThanOrEqual">
      <formula>70</formula>
    </cfRule>
  </conditionalFormatting>
  <conditionalFormatting sqref="I53 L53">
    <cfRule type="cellIs" dxfId="346" priority="95" operator="between">
      <formula>70</formula>
      <formula>60</formula>
    </cfRule>
    <cfRule type="cellIs" dxfId="345" priority="96" operator="between">
      <formula>60</formula>
      <formula>50</formula>
    </cfRule>
    <cfRule type="cellIs" dxfId="344" priority="97" operator="between">
      <formula>40</formula>
      <formula>50</formula>
    </cfRule>
    <cfRule type="cellIs" dxfId="343" priority="98" operator="lessThan">
      <formula>40</formula>
    </cfRule>
  </conditionalFormatting>
  <conditionalFormatting sqref="L54:L55">
    <cfRule type="containsText" dxfId="342" priority="86" operator="containsText" text="No grades yet">
      <formula>NOT(ISERROR(SEARCH("No grades yet",L54)))</formula>
    </cfRule>
  </conditionalFormatting>
  <conditionalFormatting sqref="I54:I55 L54:L55">
    <cfRule type="containsBlanks" dxfId="341" priority="85">
      <formula>LEN(TRIM(I54))=0</formula>
    </cfRule>
    <cfRule type="cellIs" dxfId="340" priority="87" operator="greaterThanOrEqual">
      <formula>70</formula>
    </cfRule>
  </conditionalFormatting>
  <conditionalFormatting sqref="I54:I55 L54:L55">
    <cfRule type="cellIs" dxfId="339" priority="88" operator="between">
      <formula>70</formula>
      <formula>60</formula>
    </cfRule>
    <cfRule type="cellIs" dxfId="338" priority="89" operator="between">
      <formula>60</formula>
      <formula>50</formula>
    </cfRule>
    <cfRule type="cellIs" dxfId="337" priority="90" operator="between">
      <formula>40</formula>
      <formula>50</formula>
    </cfRule>
    <cfRule type="cellIs" dxfId="336" priority="91" operator="lessThan">
      <formula>40</formula>
    </cfRule>
  </conditionalFormatting>
  <conditionalFormatting sqref="L56:L59">
    <cfRule type="containsText" dxfId="335" priority="79" operator="containsText" text="No grades yet">
      <formula>NOT(ISERROR(SEARCH("No grades yet",L56)))</formula>
    </cfRule>
  </conditionalFormatting>
  <conditionalFormatting sqref="I56:I59 L56:L59">
    <cfRule type="containsBlanks" dxfId="334" priority="78">
      <formula>LEN(TRIM(I56))=0</formula>
    </cfRule>
    <cfRule type="cellIs" dxfId="333" priority="80" operator="greaterThanOrEqual">
      <formula>70</formula>
    </cfRule>
  </conditionalFormatting>
  <conditionalFormatting sqref="I56:I59 L56:L59">
    <cfRule type="cellIs" dxfId="332" priority="81" operator="between">
      <formula>70</formula>
      <formula>60</formula>
    </cfRule>
    <cfRule type="cellIs" dxfId="331" priority="82" operator="between">
      <formula>60</formula>
      <formula>50</formula>
    </cfRule>
    <cfRule type="cellIs" dxfId="330" priority="83" operator="between">
      <formula>40</formula>
      <formula>50</formula>
    </cfRule>
    <cfRule type="cellIs" dxfId="329" priority="84" operator="lessThan">
      <formula>40</formula>
    </cfRule>
  </conditionalFormatting>
  <conditionalFormatting sqref="L60">
    <cfRule type="containsText" dxfId="328" priority="65" operator="containsText" text="No grades yet">
      <formula>NOT(ISERROR(SEARCH("No grades yet",L60)))</formula>
    </cfRule>
  </conditionalFormatting>
  <conditionalFormatting sqref="I60 L60">
    <cfRule type="containsBlanks" dxfId="327" priority="64">
      <formula>LEN(TRIM(I60))=0</formula>
    </cfRule>
    <cfRule type="cellIs" dxfId="326" priority="66" operator="greaterThanOrEqual">
      <formula>70</formula>
    </cfRule>
  </conditionalFormatting>
  <conditionalFormatting sqref="I60 L60">
    <cfRule type="cellIs" dxfId="325" priority="67" operator="between">
      <formula>70</formula>
      <formula>60</formula>
    </cfRule>
    <cfRule type="cellIs" dxfId="324" priority="68" operator="between">
      <formula>60</formula>
      <formula>50</formula>
    </cfRule>
    <cfRule type="cellIs" dxfId="323" priority="69" operator="between">
      <formula>40</formula>
      <formula>50</formula>
    </cfRule>
    <cfRule type="cellIs" dxfId="322" priority="70" operator="lessThan">
      <formula>40</formula>
    </cfRule>
  </conditionalFormatting>
  <conditionalFormatting sqref="L61">
    <cfRule type="containsText" dxfId="321" priority="51" operator="containsText" text="No grades yet">
      <formula>NOT(ISERROR(SEARCH("No grades yet",L61)))</formula>
    </cfRule>
  </conditionalFormatting>
  <conditionalFormatting sqref="I61 L61">
    <cfRule type="containsBlanks" dxfId="320" priority="50">
      <formula>LEN(TRIM(I61))=0</formula>
    </cfRule>
    <cfRule type="cellIs" dxfId="319" priority="52" operator="greaterThanOrEqual">
      <formula>70</formula>
    </cfRule>
  </conditionalFormatting>
  <conditionalFormatting sqref="I61 L61">
    <cfRule type="cellIs" dxfId="318" priority="53" operator="between">
      <formula>70</formula>
      <formula>60</formula>
    </cfRule>
    <cfRule type="cellIs" dxfId="317" priority="54" operator="between">
      <formula>60</formula>
      <formula>50</formula>
    </cfRule>
    <cfRule type="cellIs" dxfId="316" priority="55" operator="between">
      <formula>40</formula>
      <formula>50</formula>
    </cfRule>
    <cfRule type="cellIs" dxfId="315" priority="56" operator="lessThan">
      <formula>40</formula>
    </cfRule>
  </conditionalFormatting>
  <conditionalFormatting sqref="L62">
    <cfRule type="containsText" dxfId="314" priority="44" operator="containsText" text="No grades yet">
      <formula>NOT(ISERROR(SEARCH("No grades yet",L62)))</formula>
    </cfRule>
  </conditionalFormatting>
  <conditionalFormatting sqref="I62 L62">
    <cfRule type="containsBlanks" dxfId="313" priority="43">
      <formula>LEN(TRIM(I62))=0</formula>
    </cfRule>
    <cfRule type="cellIs" dxfId="312" priority="45" operator="greaterThanOrEqual">
      <formula>70</formula>
    </cfRule>
  </conditionalFormatting>
  <conditionalFormatting sqref="I62 L62">
    <cfRule type="cellIs" dxfId="311" priority="46" operator="between">
      <formula>70</formula>
      <formula>60</formula>
    </cfRule>
    <cfRule type="cellIs" dxfId="310" priority="47" operator="between">
      <formula>60</formula>
      <formula>50</formula>
    </cfRule>
    <cfRule type="cellIs" dxfId="309" priority="48" operator="between">
      <formula>40</formula>
      <formula>50</formula>
    </cfRule>
    <cfRule type="cellIs" dxfId="308" priority="49" operator="lessThan">
      <formula>40</formula>
    </cfRule>
  </conditionalFormatting>
  <conditionalFormatting sqref="L63">
    <cfRule type="containsText" dxfId="307" priority="37" operator="containsText" text="No grades yet">
      <formula>NOT(ISERROR(SEARCH("No grades yet",L63)))</formula>
    </cfRule>
  </conditionalFormatting>
  <conditionalFormatting sqref="I63 L63">
    <cfRule type="containsBlanks" dxfId="306" priority="36">
      <formula>LEN(TRIM(I63))=0</formula>
    </cfRule>
    <cfRule type="cellIs" dxfId="305" priority="38" operator="greaterThanOrEqual">
      <formula>70</formula>
    </cfRule>
  </conditionalFormatting>
  <conditionalFormatting sqref="I63 L63">
    <cfRule type="cellIs" dxfId="304" priority="39" operator="between">
      <formula>70</formula>
      <formula>60</formula>
    </cfRule>
    <cfRule type="cellIs" dxfId="303" priority="40" operator="between">
      <formula>60</formula>
      <formula>50</formula>
    </cfRule>
    <cfRule type="cellIs" dxfId="302" priority="41" operator="between">
      <formula>40</formula>
      <formula>50</formula>
    </cfRule>
    <cfRule type="cellIs" dxfId="301" priority="42" operator="lessThan">
      <formula>40</formula>
    </cfRule>
  </conditionalFormatting>
  <conditionalFormatting sqref="L64">
    <cfRule type="containsText" dxfId="300" priority="30" operator="containsText" text="No grades yet">
      <formula>NOT(ISERROR(SEARCH("No grades yet",L64)))</formula>
    </cfRule>
  </conditionalFormatting>
  <conditionalFormatting sqref="I64 L64">
    <cfRule type="containsBlanks" dxfId="299" priority="29">
      <formula>LEN(TRIM(I64))=0</formula>
    </cfRule>
    <cfRule type="cellIs" dxfId="298" priority="31" operator="greaterThanOrEqual">
      <formula>70</formula>
    </cfRule>
  </conditionalFormatting>
  <conditionalFormatting sqref="I64 L64">
    <cfRule type="cellIs" dxfId="297" priority="32" operator="between">
      <formula>70</formula>
      <formula>60</formula>
    </cfRule>
    <cfRule type="cellIs" dxfId="296" priority="33" operator="between">
      <formula>60</formula>
      <formula>50</formula>
    </cfRule>
    <cfRule type="cellIs" dxfId="295" priority="34" operator="between">
      <formula>40</formula>
      <formula>50</formula>
    </cfRule>
    <cfRule type="cellIs" dxfId="294" priority="35" operator="lessThan">
      <formula>40</formula>
    </cfRule>
  </conditionalFormatting>
  <conditionalFormatting sqref="L65">
    <cfRule type="containsText" dxfId="293" priority="23" operator="containsText" text="No grades yet">
      <formula>NOT(ISERROR(SEARCH("No grades yet",L65)))</formula>
    </cfRule>
  </conditionalFormatting>
  <conditionalFormatting sqref="I65 L65">
    <cfRule type="containsBlanks" dxfId="292" priority="22">
      <formula>LEN(TRIM(I65))=0</formula>
    </cfRule>
    <cfRule type="cellIs" dxfId="291" priority="24" operator="greaterThanOrEqual">
      <formula>70</formula>
    </cfRule>
  </conditionalFormatting>
  <conditionalFormatting sqref="I65 L65">
    <cfRule type="cellIs" dxfId="290" priority="25" operator="between">
      <formula>70</formula>
      <formula>60</formula>
    </cfRule>
    <cfRule type="cellIs" dxfId="289" priority="26" operator="between">
      <formula>60</formula>
      <formula>50</formula>
    </cfRule>
    <cfRule type="cellIs" dxfId="288" priority="27" operator="between">
      <formula>40</formula>
      <formula>50</formula>
    </cfRule>
    <cfRule type="cellIs" dxfId="287" priority="28" operator="lessThan">
      <formula>40</formula>
    </cfRule>
  </conditionalFormatting>
  <conditionalFormatting sqref="L66">
    <cfRule type="containsText" dxfId="286" priority="16" operator="containsText" text="No grades yet">
      <formula>NOT(ISERROR(SEARCH("No grades yet",L66)))</formula>
    </cfRule>
  </conditionalFormatting>
  <conditionalFormatting sqref="I66 L66">
    <cfRule type="containsBlanks" dxfId="285" priority="15">
      <formula>LEN(TRIM(I66))=0</formula>
    </cfRule>
    <cfRule type="cellIs" dxfId="284" priority="17" operator="greaterThanOrEqual">
      <formula>70</formula>
    </cfRule>
  </conditionalFormatting>
  <conditionalFormatting sqref="I66 L66">
    <cfRule type="cellIs" dxfId="283" priority="18" operator="between">
      <formula>70</formula>
      <formula>60</formula>
    </cfRule>
    <cfRule type="cellIs" dxfId="282" priority="19" operator="between">
      <formula>60</formula>
      <formula>50</formula>
    </cfRule>
    <cfRule type="cellIs" dxfId="281" priority="20" operator="between">
      <formula>40</formula>
      <formula>50</formula>
    </cfRule>
    <cfRule type="cellIs" dxfId="280" priority="21" operator="lessThan">
      <formula>40</formula>
    </cfRule>
  </conditionalFormatting>
  <conditionalFormatting sqref="L67">
    <cfRule type="containsText" dxfId="279" priority="9" operator="containsText" text="No grades yet">
      <formula>NOT(ISERROR(SEARCH("No grades yet",L67)))</formula>
    </cfRule>
  </conditionalFormatting>
  <conditionalFormatting sqref="I67 L67">
    <cfRule type="containsBlanks" dxfId="278" priority="8">
      <formula>LEN(TRIM(I67))=0</formula>
    </cfRule>
    <cfRule type="cellIs" dxfId="277" priority="10" operator="greaterThanOrEqual">
      <formula>70</formula>
    </cfRule>
  </conditionalFormatting>
  <conditionalFormatting sqref="I67 L67">
    <cfRule type="cellIs" dxfId="276" priority="11" operator="between">
      <formula>70</formula>
      <formula>60</formula>
    </cfRule>
    <cfRule type="cellIs" dxfId="275" priority="12" operator="between">
      <formula>60</formula>
      <formula>50</formula>
    </cfRule>
    <cfRule type="cellIs" dxfId="274" priority="13" operator="between">
      <formula>40</formula>
      <formula>50</formula>
    </cfRule>
    <cfRule type="cellIs" dxfId="273" priority="14" operator="lessThan">
      <formula>40</formula>
    </cfRule>
  </conditionalFormatting>
  <conditionalFormatting sqref="L68">
    <cfRule type="containsText" dxfId="272" priority="2" operator="containsText" text="No grades yet">
      <formula>NOT(ISERROR(SEARCH("No grades yet",L68)))</formula>
    </cfRule>
  </conditionalFormatting>
  <conditionalFormatting sqref="I68 L68">
    <cfRule type="containsBlanks" dxfId="271" priority="1">
      <formula>LEN(TRIM(I68))=0</formula>
    </cfRule>
    <cfRule type="cellIs" dxfId="270" priority="3" operator="greaterThanOrEqual">
      <formula>70</formula>
    </cfRule>
  </conditionalFormatting>
  <conditionalFormatting sqref="I68 L68">
    <cfRule type="cellIs" dxfId="269" priority="4" operator="between">
      <formula>70</formula>
      <formula>60</formula>
    </cfRule>
    <cfRule type="cellIs" dxfId="268" priority="5" operator="between">
      <formula>60</formula>
      <formula>50</formula>
    </cfRule>
    <cfRule type="cellIs" dxfId="267" priority="6" operator="between">
      <formula>40</formula>
      <formula>50</formula>
    </cfRule>
    <cfRule type="cellIs" dxfId="266" priority="7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1"/>
  <sheetViews>
    <sheetView zoomScale="71" workbookViewId="0">
      <selection activeCell="E16" sqref="E16"/>
    </sheetView>
  </sheetViews>
  <sheetFormatPr defaultRowHeight="13.2"/>
  <cols>
    <col min="1" max="1" width="12.33203125" customWidth="1"/>
    <col min="2" max="2" width="6.77734375" customWidth="1"/>
    <col min="3" max="3" width="8.109375" customWidth="1"/>
    <col min="4" max="4" width="11.88671875" customWidth="1"/>
    <col min="5" max="5" width="12.109375" customWidth="1"/>
    <col min="6" max="6" width="25.77734375" customWidth="1"/>
    <col min="7" max="7" width="9.88671875" customWidth="1"/>
    <col min="8" max="8" width="9.77734375" customWidth="1"/>
    <col min="9" max="16" width="25.77734375" customWidth="1"/>
  </cols>
  <sheetData>
    <row r="1" spans="1:16" ht="13.8" thickBot="1">
      <c r="A1" s="23" t="s">
        <v>66</v>
      </c>
    </row>
    <row r="2" spans="1:16" ht="14.4" thickTop="1" thickBot="1">
      <c r="A2" s="108" t="s">
        <v>67</v>
      </c>
      <c r="B2" s="109" t="s">
        <v>3</v>
      </c>
      <c r="C2" s="109" t="s">
        <v>0</v>
      </c>
      <c r="D2" s="109" t="s">
        <v>93</v>
      </c>
      <c r="E2" s="109" t="s">
        <v>94</v>
      </c>
      <c r="F2" s="241" t="s">
        <v>267</v>
      </c>
      <c r="G2" s="241"/>
      <c r="H2" s="241"/>
      <c r="I2" s="109" t="s">
        <v>4</v>
      </c>
      <c r="J2" s="109" t="s">
        <v>5</v>
      </c>
      <c r="K2" s="109" t="s">
        <v>6</v>
      </c>
      <c r="L2" s="109" t="s">
        <v>7</v>
      </c>
      <c r="M2" s="109" t="s">
        <v>236</v>
      </c>
      <c r="N2" s="109" t="s">
        <v>9</v>
      </c>
      <c r="O2" s="109" t="s">
        <v>237</v>
      </c>
      <c r="P2" s="110" t="s">
        <v>238</v>
      </c>
    </row>
    <row r="3" spans="1:16" ht="13.8" thickTop="1"/>
    <row r="9" spans="1:16" ht="13.8" thickBot="1">
      <c r="A9" s="231" t="s">
        <v>96</v>
      </c>
      <c r="B9" s="232"/>
    </row>
    <row r="10" spans="1:16" ht="14.4" thickTop="1" thickBot="1">
      <c r="A10" s="108" t="s">
        <v>67</v>
      </c>
      <c r="B10" s="109" t="s">
        <v>3</v>
      </c>
      <c r="C10" s="109" t="s">
        <v>0</v>
      </c>
      <c r="D10" s="109" t="s">
        <v>93</v>
      </c>
      <c r="E10" s="109" t="s">
        <v>94</v>
      </c>
      <c r="F10" s="241" t="s">
        <v>267</v>
      </c>
      <c r="G10" s="241"/>
      <c r="H10" s="241"/>
      <c r="I10" s="109" t="s">
        <v>4</v>
      </c>
      <c r="J10" s="109" t="s">
        <v>5</v>
      </c>
      <c r="K10" s="109" t="s">
        <v>6</v>
      </c>
      <c r="L10" s="109" t="s">
        <v>7</v>
      </c>
      <c r="M10" s="109" t="s">
        <v>236</v>
      </c>
      <c r="N10" s="109" t="s">
        <v>9</v>
      </c>
      <c r="O10" s="109" t="s">
        <v>237</v>
      </c>
      <c r="P10" s="110" t="s">
        <v>238</v>
      </c>
    </row>
    <row r="11" spans="1:16" ht="13.8" thickTop="1"/>
  </sheetData>
  <mergeCells count="3">
    <mergeCell ref="A9:B9"/>
    <mergeCell ref="F2:H2"/>
    <mergeCell ref="F10:H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tabSelected="1" zoomScale="75" workbookViewId="0">
      <selection activeCell="L24" sqref="L24"/>
    </sheetView>
  </sheetViews>
  <sheetFormatPr defaultRowHeight="13.2"/>
  <cols>
    <col min="1" max="1" width="10.77734375" bestFit="1" customWidth="1"/>
    <col min="2" max="2" width="22.5546875" bestFit="1" customWidth="1"/>
    <col min="3" max="3" width="15.21875" customWidth="1"/>
    <col min="4" max="4" width="15.77734375" customWidth="1"/>
    <col min="5" max="5" width="20.44140625" bestFit="1" customWidth="1"/>
    <col min="6" max="6" width="4.77734375" bestFit="1" customWidth="1"/>
    <col min="7" max="7" width="21.109375" customWidth="1"/>
    <col min="9" max="9" width="17" hidden="1" customWidth="1"/>
    <col min="10" max="10" width="20" hidden="1" customWidth="1"/>
    <col min="11" max="11" width="20.88671875" customWidth="1"/>
    <col min="12" max="12" width="22.6640625" customWidth="1"/>
    <col min="13" max="13" width="18.6640625" customWidth="1"/>
    <col min="14" max="14" width="18.33203125" customWidth="1"/>
    <col min="15" max="15" width="21.44140625" customWidth="1"/>
  </cols>
  <sheetData>
    <row r="1" spans="1:15" ht="27.6" thickTop="1" thickBot="1">
      <c r="A1" s="293" t="s">
        <v>67</v>
      </c>
      <c r="B1" s="294" t="s">
        <v>3</v>
      </c>
      <c r="C1" s="294" t="s">
        <v>0</v>
      </c>
      <c r="D1" s="294" t="s">
        <v>93</v>
      </c>
      <c r="E1" s="295" t="s">
        <v>267</v>
      </c>
      <c r="F1" s="295"/>
      <c r="G1" s="295"/>
      <c r="H1" s="294" t="s">
        <v>4</v>
      </c>
      <c r="I1" s="294" t="s">
        <v>5</v>
      </c>
      <c r="J1" s="294" t="s">
        <v>6</v>
      </c>
      <c r="K1" s="294" t="s">
        <v>7</v>
      </c>
      <c r="L1" s="294" t="s">
        <v>236</v>
      </c>
      <c r="M1" s="294" t="s">
        <v>9</v>
      </c>
      <c r="N1" s="294" t="s">
        <v>237</v>
      </c>
      <c r="O1" s="296" t="s">
        <v>238</v>
      </c>
    </row>
    <row r="2" spans="1:15" ht="13.8" thickTop="1">
      <c r="A2" s="304" t="s">
        <v>191</v>
      </c>
      <c r="B2" s="302" t="s">
        <v>192</v>
      </c>
      <c r="C2" s="289">
        <v>10</v>
      </c>
      <c r="D2" s="290">
        <v>0.4</v>
      </c>
      <c r="E2" s="283" t="s">
        <v>193</v>
      </c>
      <c r="F2" s="315">
        <v>0.6</v>
      </c>
      <c r="G2" s="283" t="s">
        <v>194</v>
      </c>
      <c r="H2" s="291"/>
      <c r="I2" s="292">
        <f>IF(F2=1, H2, SUMPRODUCT(H2:H5, F2:F5))</f>
        <v>0</v>
      </c>
      <c r="J2" s="292">
        <f>SUMIF(H2:H5, "&lt;&gt;", F2:F5) / SUMIF(F2:F5, "&lt;&gt;")</f>
        <v>0</v>
      </c>
      <c r="K2" s="292" t="str">
        <f>IFERROR(I2/J2, "No grades yet")</f>
        <v>No grades yet</v>
      </c>
      <c r="L2" s="292">
        <f>IFERROR(IF(J2 = 1, "Completed module", IF(((70 - I2) / (1 - J2)) &gt; 100, "Unattainable", IF(((70 - I2) / (1 - J2)) &lt; 0, "Already attained", ((70 - I2) / (1 - J2))))), "-")</f>
        <v>70</v>
      </c>
      <c r="M2" s="292">
        <f>IFERROR(IF(J2 = 1, "Completed module", IF(((60 - I2) / (1 - J2)) &gt; 100, "Unattainable", IF(((60 - I2) / (1 - J2)) &lt; 0, "Already attained", ((60 - I2) / (1 - J2))))), "-")</f>
        <v>60</v>
      </c>
      <c r="N2" s="292">
        <f>IFERROR(IF(J2 = 1, "Completed module", IF(((50 - I2) / (1 - J2)) &gt; 100, "Unattainable", IF(((50 - I2) / (1 - J2)) &lt; 0, "Already attained", ((50 - I2) / (1 - J2))))), "-")</f>
        <v>50</v>
      </c>
      <c r="O2" s="299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305"/>
      <c r="B3" s="303"/>
      <c r="C3" s="285"/>
      <c r="D3" s="286"/>
      <c r="E3" s="281" t="s">
        <v>268</v>
      </c>
      <c r="F3" s="316">
        <v>0.3</v>
      </c>
      <c r="G3" s="281" t="s">
        <v>195</v>
      </c>
      <c r="H3" s="288"/>
      <c r="I3" s="287"/>
      <c r="J3" s="287"/>
      <c r="K3" s="287"/>
      <c r="L3" s="287"/>
      <c r="M3" s="287"/>
      <c r="N3" s="287"/>
      <c r="O3" s="300"/>
    </row>
    <row r="4" spans="1:15">
      <c r="A4" s="305"/>
      <c r="B4" s="303"/>
      <c r="C4" s="285"/>
      <c r="D4" s="286"/>
      <c r="E4" s="281" t="s">
        <v>231</v>
      </c>
      <c r="F4" s="316">
        <v>0</v>
      </c>
      <c r="G4" s="281" t="s">
        <v>196</v>
      </c>
      <c r="H4" s="288"/>
      <c r="I4" s="287"/>
      <c r="J4" s="287"/>
      <c r="K4" s="287"/>
      <c r="L4" s="287"/>
      <c r="M4" s="287"/>
      <c r="N4" s="287"/>
      <c r="O4" s="300"/>
    </row>
    <row r="5" spans="1:15" ht="13.8" thickBot="1">
      <c r="A5" s="306"/>
      <c r="B5" s="307"/>
      <c r="C5" s="308"/>
      <c r="D5" s="309"/>
      <c r="E5" s="310" t="s">
        <v>231</v>
      </c>
      <c r="F5" s="317">
        <v>0.1</v>
      </c>
      <c r="G5" s="310" t="s">
        <v>197</v>
      </c>
      <c r="H5" s="312"/>
      <c r="I5" s="313"/>
      <c r="J5" s="313"/>
      <c r="K5" s="313"/>
      <c r="L5" s="313"/>
      <c r="M5" s="313"/>
      <c r="N5" s="313"/>
      <c r="O5" s="314"/>
    </row>
    <row r="6" spans="1:15" ht="57.6" customHeight="1" thickTop="1">
      <c r="A6" s="304" t="s">
        <v>239</v>
      </c>
      <c r="B6" s="302" t="s">
        <v>240</v>
      </c>
      <c r="C6" s="289">
        <v>5</v>
      </c>
      <c r="D6" s="290">
        <v>0.4</v>
      </c>
      <c r="E6" s="283" t="s">
        <v>241</v>
      </c>
      <c r="F6" s="315">
        <v>0.4</v>
      </c>
      <c r="G6" s="283" t="s">
        <v>241</v>
      </c>
      <c r="H6" s="291"/>
      <c r="I6" s="292">
        <f>IF(F6=1, H6, SUMPRODUCT(H6:H9, F6:F9))</f>
        <v>0</v>
      </c>
      <c r="J6" s="292">
        <f>SUMIF(H6:H9, "&lt;&gt;", F6:F9) / SUMIF(F6:F9, "&lt;&gt;")</f>
        <v>0</v>
      </c>
      <c r="K6" s="292" t="str">
        <f>IFERROR(I6/J6, "No grades yet")</f>
        <v>No grades yet</v>
      </c>
      <c r="L6" s="292">
        <f>IFERROR(IF(J6 = 1, "Completed module", IF(((70 - I6) / (1 - J6)) &gt; 100, "Unattainable", IF(((70 - I6) / (1 - J6)) &lt; 0, "Already attained", ((70 - I6) / (1 - J6))))), "-")</f>
        <v>70</v>
      </c>
      <c r="M6" s="292">
        <f>IFERROR(IF(J6 = 1, "Completed module", IF(((60 - I6) / (1 - J6)) &gt; 100, "Unattainable", IF(((60 - I6) / (1 - J6)) &lt; 0, "Already attained", ((60 - I6) / (1 - J6))))), "-")</f>
        <v>60</v>
      </c>
      <c r="N6" s="292">
        <f>IFERROR(IF(J6 = 1, "Completed module", IF(((50 - I6) / (1 - J6)) &gt; 100, "Unattainable", IF(((50 - I6) / (1 - J6)) &lt; 0, "Already attained", ((50 - I6) / (1 - J6))))), "-")</f>
        <v>50</v>
      </c>
      <c r="O6" s="299">
        <f>IFERROR(IF(J6 = 1, "Completed module", IF(((40 - I6) / (1 - J6)) &gt; 100, "Unattainable", IF(((40 - I6) / (1 - J6)) &lt; 0, "Already attained", ((40 - I6) / (1 - J6))))), "-")</f>
        <v>40</v>
      </c>
    </row>
    <row r="7" spans="1:15" ht="26.4">
      <c r="A7" s="305"/>
      <c r="B7" s="303"/>
      <c r="C7" s="285"/>
      <c r="D7" s="286"/>
      <c r="E7" s="281" t="s">
        <v>242</v>
      </c>
      <c r="F7" s="316">
        <v>0.6</v>
      </c>
      <c r="G7" s="281" t="s">
        <v>243</v>
      </c>
      <c r="H7" s="288"/>
      <c r="I7" s="287"/>
      <c r="J7" s="287"/>
      <c r="K7" s="287"/>
      <c r="L7" s="287"/>
      <c r="M7" s="287"/>
      <c r="N7" s="287"/>
      <c r="O7" s="300"/>
    </row>
    <row r="8" spans="1:15" ht="26.4">
      <c r="A8" s="305"/>
      <c r="B8" s="303"/>
      <c r="C8" s="285"/>
      <c r="D8" s="286"/>
      <c r="E8" s="281" t="s">
        <v>244</v>
      </c>
      <c r="F8" s="316">
        <v>0</v>
      </c>
      <c r="G8" s="281" t="s">
        <v>245</v>
      </c>
      <c r="H8" s="288"/>
      <c r="I8" s="287"/>
      <c r="J8" s="287"/>
      <c r="K8" s="287"/>
      <c r="L8" s="287"/>
      <c r="M8" s="287"/>
      <c r="N8" s="287"/>
      <c r="O8" s="300"/>
    </row>
    <row r="9" spans="1:15" ht="13.8" thickBot="1">
      <c r="A9" s="306"/>
      <c r="B9" s="307"/>
      <c r="C9" s="308"/>
      <c r="D9" s="309"/>
      <c r="E9" s="310" t="s">
        <v>246</v>
      </c>
      <c r="F9" s="317">
        <v>0</v>
      </c>
      <c r="G9" s="310" t="s">
        <v>247</v>
      </c>
      <c r="H9" s="312"/>
      <c r="I9" s="313"/>
      <c r="J9" s="313"/>
      <c r="K9" s="313"/>
      <c r="L9" s="313"/>
      <c r="M9" s="313"/>
      <c r="N9" s="313"/>
      <c r="O9" s="314"/>
    </row>
    <row r="10" spans="1:15" ht="27" thickTop="1">
      <c r="A10" s="304" t="s">
        <v>248</v>
      </c>
      <c r="B10" s="302" t="s">
        <v>249</v>
      </c>
      <c r="C10" s="289">
        <v>10</v>
      </c>
      <c r="D10" s="290">
        <v>0.4</v>
      </c>
      <c r="E10" s="283" t="s">
        <v>231</v>
      </c>
      <c r="F10" s="284">
        <v>0.1</v>
      </c>
      <c r="G10" s="283" t="s">
        <v>250</v>
      </c>
      <c r="H10" s="291"/>
      <c r="I10" s="292">
        <f>IF(F10=1, H10, SUMPRODUCT(H10:H12, F10:F12))</f>
        <v>0</v>
      </c>
      <c r="J10" s="292">
        <f>SUMIF(H10:H12, "&lt;&gt;", F10:F12) / SUMIF(F10:F12, "&lt;&gt;")</f>
        <v>0</v>
      </c>
      <c r="K10" s="292" t="str">
        <f>IFERROR(I10/J10, "No grades yet")</f>
        <v>No grades yet</v>
      </c>
      <c r="L10" s="292">
        <f>IFERROR(IF(J10 = 1, "Completed module", IF(((70 - I10) / (1 - J10)) &gt; 100, "Unattainable", IF(((70 - I10) / (1 - J10)) &lt; 0, "Already attained", ((70 - I10) / (1 - J10))))), "-")</f>
        <v>70</v>
      </c>
      <c r="M10" s="292">
        <f>IFERROR(IF(J10 = 1, "Completed module", IF(((60 - I10) / (1 - J10)) &gt; 100, "Unattainable", IF(((60 - I10) / (1 - J10)) &lt; 0, "Already attained", ((60 - I10) / (1 - J10))))), "-")</f>
        <v>60</v>
      </c>
      <c r="N10" s="292">
        <f>IFERROR(IF(J10 = 1, "Completed module", IF(((50 - I10) / (1 - J10)) &gt; 100, "Unattainable", IF(((50 - I10) / (1 - J10)) &lt; 0, "Already attained", ((50 - I10) / (1 - J10))))), "-")</f>
        <v>50</v>
      </c>
      <c r="O10" s="299">
        <f>IFERROR(IF(J10 = 1, "Completed module", IF(((40 - I10) / (1 - J10)) &gt; 100, "Unattainable", IF(((40 - I10) / (1 - J10)) &lt; 0, "Already attained", ((40 - I10) / (1 - J10))))), "-")</f>
        <v>40</v>
      </c>
    </row>
    <row r="11" spans="1:15" ht="26.4">
      <c r="A11" s="305"/>
      <c r="B11" s="303"/>
      <c r="C11" s="285"/>
      <c r="D11" s="286"/>
      <c r="E11" s="281" t="s">
        <v>231</v>
      </c>
      <c r="F11" s="282">
        <v>0.1</v>
      </c>
      <c r="G11" s="281" t="s">
        <v>251</v>
      </c>
      <c r="H11" s="288"/>
      <c r="I11" s="287"/>
      <c r="J11" s="287"/>
      <c r="K11" s="287"/>
      <c r="L11" s="287"/>
      <c r="M11" s="287"/>
      <c r="N11" s="287"/>
      <c r="O11" s="300"/>
    </row>
    <row r="12" spans="1:15" ht="13.8" thickBot="1">
      <c r="A12" s="306"/>
      <c r="B12" s="307"/>
      <c r="C12" s="308"/>
      <c r="D12" s="309"/>
      <c r="E12" s="310" t="s">
        <v>193</v>
      </c>
      <c r="F12" s="311">
        <v>0.8</v>
      </c>
      <c r="G12" s="310" t="s">
        <v>252</v>
      </c>
      <c r="H12" s="312"/>
      <c r="I12" s="313"/>
      <c r="J12" s="313"/>
      <c r="K12" s="313"/>
      <c r="L12" s="313"/>
      <c r="M12" s="313"/>
      <c r="N12" s="313"/>
      <c r="O12" s="314"/>
    </row>
    <row r="13" spans="1:15" ht="69" customHeight="1" thickTop="1">
      <c r="A13" s="304" t="s">
        <v>263</v>
      </c>
      <c r="B13" s="302" t="s">
        <v>264</v>
      </c>
      <c r="C13" s="289">
        <v>10</v>
      </c>
      <c r="D13" s="290">
        <v>0.4</v>
      </c>
      <c r="E13" s="283" t="s">
        <v>193</v>
      </c>
      <c r="F13" s="284">
        <v>0.9</v>
      </c>
      <c r="G13" s="283" t="s">
        <v>265</v>
      </c>
      <c r="H13" s="291"/>
      <c r="I13" s="292">
        <f>IF(F13=1, H13, SUMPRODUCT(H13:H14, F13:F14))</f>
        <v>0</v>
      </c>
      <c r="J13" s="292">
        <f>SUMIF(H13:H14, "&lt;&gt;", F13:F14) / SUMIF(F13:F14, "&lt;&gt;")</f>
        <v>0</v>
      </c>
      <c r="K13" s="292" t="str">
        <f>IFERROR(I13/J13, "No grades yet")</f>
        <v>No grades yet</v>
      </c>
      <c r="L13" s="292">
        <f>IFERROR(IF(J13 = 1, "Completed module", IF(((70 - I13) / (1 - J13)) &gt; 100, "Unattainable", IF(((70 - I13) / (1 - J13)) &lt; 0, "Already attained", ((70 - I13) / (1 - J13))))), "-")</f>
        <v>70</v>
      </c>
      <c r="M13" s="292">
        <f>IFERROR(IF(J13 = 1, "Completed module", IF(((60 - I13) / (1 - J13)) &gt; 100, "Unattainable", IF(((60 - I13) / (1 - J13)) &lt; 0, "Already attained", ((60 - I13) / (1 - J13))))), "-")</f>
        <v>60</v>
      </c>
      <c r="N13" s="292">
        <f>IFERROR(IF(J13 = 1, "Completed module", IF(((50 - I13) / (1 - J13)) &gt; 100, "Unattainable", IF(((50 - I13) / (1 - J13)) &lt; 0, "Already attained", ((50 - I13) / (1 - J13))))), "-")</f>
        <v>50</v>
      </c>
      <c r="O13" s="299">
        <f>IFERROR(IF(J13 = 1, "Completed module", IF(((40 - I13) / (1 - J13)) &gt; 100, "Unattainable", IF(((40 - I13) / (1 - J13)) &lt; 0, "Already attained", ((40 - I13) / (1 - J13))))), "-")</f>
        <v>40</v>
      </c>
    </row>
    <row r="14" spans="1:15" ht="22.8" customHeight="1" thickBot="1">
      <c r="A14" s="306"/>
      <c r="B14" s="307"/>
      <c r="C14" s="308"/>
      <c r="D14" s="309"/>
      <c r="E14" s="310" t="s">
        <v>242</v>
      </c>
      <c r="F14" s="311">
        <v>0.1</v>
      </c>
      <c r="G14" s="310" t="s">
        <v>266</v>
      </c>
      <c r="H14" s="312"/>
      <c r="I14" s="313"/>
      <c r="J14" s="313"/>
      <c r="K14" s="313"/>
      <c r="L14" s="313"/>
      <c r="M14" s="313"/>
      <c r="N14" s="313"/>
      <c r="O14" s="314"/>
    </row>
    <row r="15" spans="1:15" ht="23.4" customHeight="1" thickTop="1">
      <c r="A15" s="304" t="s">
        <v>269</v>
      </c>
      <c r="B15" s="302" t="s">
        <v>270</v>
      </c>
      <c r="C15" s="289">
        <v>10</v>
      </c>
      <c r="D15" s="290">
        <v>0.4</v>
      </c>
      <c r="E15" s="283" t="s">
        <v>193</v>
      </c>
      <c r="F15" s="284">
        <v>0.6</v>
      </c>
      <c r="G15" s="283" t="s">
        <v>271</v>
      </c>
      <c r="H15" s="291"/>
      <c r="I15" s="292">
        <f>IF(F15=1, H15, SUMPRODUCT(H15:H17, F15:F17))</f>
        <v>0</v>
      </c>
      <c r="J15" s="292">
        <f>SUMIF(H15:H17, "&lt;&gt;", F15:F17) / SUMIF(F15:F17, "&lt;&gt;")</f>
        <v>0</v>
      </c>
      <c r="K15" s="292" t="str">
        <f>IFERROR(I15/J15, "No grades yet")</f>
        <v>No grades yet</v>
      </c>
      <c r="L15" s="292">
        <f>IFERROR(IF(J15 = 1, "Completed module", IF(((70 - I15) / (1 - J15)) &gt; 100, "Unattainable", IF(((70 - I15) / (1 - J15)) &lt; 0, "Already attained", ((70 - I15) / (1 - J15))))), "-")</f>
        <v>70</v>
      </c>
      <c r="M15" s="292">
        <f>IFERROR(IF(J15 = 1, "Completed module", IF(((60 - I15) / (1 - J15)) &gt; 100, "Unattainable", IF(((60 - I15) / (1 - J15)) &lt; 0, "Already attained", ((60 - I15) / (1 - J15))))), "-")</f>
        <v>60</v>
      </c>
      <c r="N15" s="292">
        <f>IFERROR(IF(J15 = 1, "Completed module", IF(((50 - I15) / (1 - J15)) &gt; 100, "Unattainable", IF(((50 - I15) / (1 - J15)) &lt; 0, "Already attained", ((50 - I15) / (1 - J15))))), "-")</f>
        <v>50</v>
      </c>
      <c r="O15" s="299">
        <f>IFERROR(IF(J15 = 1, "Completed module", IF(((40 - I15) / (1 - J15)) &gt; 100, "Unattainable", IF(((40 - I15) / (1 - J15)) &lt; 0, "Already attained", ((40 - I15) / (1 - J15))))), "-")</f>
        <v>40</v>
      </c>
    </row>
    <row r="16" spans="1:15" ht="22.8" customHeight="1">
      <c r="A16" s="305"/>
      <c r="B16" s="303"/>
      <c r="C16" s="285"/>
      <c r="D16" s="286"/>
      <c r="E16" s="281" t="s">
        <v>231</v>
      </c>
      <c r="F16" s="282">
        <v>0.2</v>
      </c>
      <c r="G16" s="281" t="s">
        <v>231</v>
      </c>
      <c r="H16" s="288"/>
      <c r="I16" s="287"/>
      <c r="J16" s="287"/>
      <c r="K16" s="287"/>
      <c r="L16" s="287"/>
      <c r="M16" s="287"/>
      <c r="N16" s="287"/>
      <c r="O16" s="300"/>
    </row>
    <row r="17" spans="1:15" ht="22.8" customHeight="1" thickBot="1">
      <c r="A17" s="306"/>
      <c r="B17" s="307"/>
      <c r="C17" s="308"/>
      <c r="D17" s="309"/>
      <c r="E17" s="310" t="s">
        <v>231</v>
      </c>
      <c r="F17" s="311">
        <v>0.2</v>
      </c>
      <c r="G17" s="310" t="s">
        <v>231</v>
      </c>
      <c r="H17" s="312"/>
      <c r="I17" s="313"/>
      <c r="J17" s="313"/>
      <c r="K17" s="313"/>
      <c r="L17" s="313"/>
      <c r="M17" s="313"/>
      <c r="N17" s="313"/>
      <c r="O17" s="314"/>
    </row>
    <row r="18" spans="1:15" ht="13.8" thickTop="1">
      <c r="A18" s="304" t="s">
        <v>272</v>
      </c>
      <c r="B18" s="302" t="s">
        <v>273</v>
      </c>
      <c r="C18" s="289">
        <v>5</v>
      </c>
      <c r="D18" s="290">
        <v>0.4</v>
      </c>
      <c r="E18" s="283" t="s">
        <v>274</v>
      </c>
      <c r="F18" s="284">
        <v>0.6</v>
      </c>
      <c r="G18" s="283" t="s">
        <v>275</v>
      </c>
      <c r="H18" s="291"/>
      <c r="I18" s="292">
        <f>IF(F18=1, H18, SUMPRODUCT(H18:H20, F18:F20))</f>
        <v>0</v>
      </c>
      <c r="J18" s="292">
        <f>SUMIF(H18:H20, "&lt;&gt;", F18:F20) / SUMIF(F18:F20, "&lt;&gt;")</f>
        <v>0</v>
      </c>
      <c r="K18" s="292" t="str">
        <f>IFERROR(I18/J18, "No grades yet")</f>
        <v>No grades yet</v>
      </c>
      <c r="L18" s="292">
        <f>IFERROR(IF(J18 = 1, "Completed module", IF(((70 - I18) / (1 - J18)) &gt; 100, "Unattainable", IF(((70 - I18) / (1 - J18)) &lt; 0, "Already attained", ((70 - I18) / (1 - J18))))), "-")</f>
        <v>70</v>
      </c>
      <c r="M18" s="292">
        <f>IFERROR(IF(J18 = 1, "Completed module", IF(((60 - I18) / (1 - J18)) &gt; 100, "Unattainable", IF(((60 - I18) / (1 - J18)) &lt; 0, "Already attained", ((60 - I18) / (1 - J18))))), "-")</f>
        <v>60</v>
      </c>
      <c r="N18" s="292">
        <f>IFERROR(IF(J18 = 1, "Completed module", IF(((50 - I18) / (1 - J18)) &gt; 100, "Unattainable", IF(((50 - I18) / (1 - J18)) &lt; 0, "Already attained", ((50 - I18) / (1 - J18))))), "-")</f>
        <v>50</v>
      </c>
      <c r="O18" s="299">
        <f>IFERROR(IF(J18 = 1, "Completed module", IF(((40 - I18) / (1 - J18)) &gt; 100, "Unattainable", IF(((40 - I18) / (1 - J18)) &lt; 0, "Already attained", ((40 - I18) / (1 - J18))))), "-")</f>
        <v>40</v>
      </c>
    </row>
    <row r="19" spans="1:15" ht="22.8" customHeight="1">
      <c r="A19" s="305"/>
      <c r="B19" s="303"/>
      <c r="C19" s="285"/>
      <c r="D19" s="286"/>
      <c r="E19" s="281" t="s">
        <v>276</v>
      </c>
      <c r="F19" s="282">
        <v>0.2</v>
      </c>
      <c r="G19" s="281" t="s">
        <v>277</v>
      </c>
      <c r="H19" s="288"/>
      <c r="I19" s="287"/>
      <c r="J19" s="287"/>
      <c r="K19" s="287"/>
      <c r="L19" s="287"/>
      <c r="M19" s="287"/>
      <c r="N19" s="287"/>
      <c r="O19" s="300"/>
    </row>
    <row r="20" spans="1:15" ht="22.8" customHeight="1" thickBot="1">
      <c r="A20" s="306"/>
      <c r="B20" s="307"/>
      <c r="C20" s="308"/>
      <c r="D20" s="309"/>
      <c r="E20" s="310" t="s">
        <v>276</v>
      </c>
      <c r="F20" s="311">
        <v>0.2</v>
      </c>
      <c r="G20" s="310" t="s">
        <v>278</v>
      </c>
      <c r="H20" s="312"/>
      <c r="I20" s="313"/>
      <c r="J20" s="313"/>
      <c r="K20" s="313"/>
      <c r="L20" s="313"/>
      <c r="M20" s="313"/>
      <c r="N20" s="313"/>
      <c r="O20" s="314"/>
    </row>
    <row r="21" spans="1:15" ht="27.6" thickTop="1" thickBot="1">
      <c r="A21" s="327" t="s">
        <v>279</v>
      </c>
      <c r="B21" s="328" t="s">
        <v>280</v>
      </c>
      <c r="C21" s="329">
        <v>5</v>
      </c>
      <c r="D21" s="330">
        <v>0.4</v>
      </c>
      <c r="E21" s="331" t="s">
        <v>281</v>
      </c>
      <c r="F21" s="332"/>
      <c r="G21" s="331"/>
      <c r="H21" s="333"/>
      <c r="I21" s="334" t="e">
        <f>IF(F21=1, H21, SUMPRODUCT(H21:H21, F21:F21))</f>
        <v>#VALUE!</v>
      </c>
      <c r="J21" s="334" t="e">
        <f>SUMIF(H21:H21, "&lt;&gt;", F21:F21) / SUMIF(F21:F21, "&lt;&gt;")</f>
        <v>#DIV/0!</v>
      </c>
      <c r="K21" s="334" t="str">
        <f>IFERROR(I21/J21, "No grades yet")</f>
        <v>No grades yet</v>
      </c>
      <c r="L21" s="334" t="str">
        <f>IFERROR(IF(J21 = 1, "Completed module", IF(((70 - I21) / (1 - J21)) &gt; 100, "Unattainable", IF(((70 - I21) / (1 - J21)) &lt; 0, "Already attained", ((70 - I21) / (1 - J21))))), "-")</f>
        <v>-</v>
      </c>
      <c r="M21" s="334" t="str">
        <f>IFERROR(IF(J21 = 1, "Completed module", IF(((60 - I21) / (1 - J21)) &gt; 100, "Unattainable", IF(((60 - I21) / (1 - J21)) &lt; 0, "Already attained", ((60 - I21) / (1 - J21))))), "-")</f>
        <v>-</v>
      </c>
      <c r="N21" s="334" t="str">
        <f>IFERROR(IF(J21 = 1, "Completed module", IF(((50 - I21) / (1 - J21)) &gt; 100, "Unattainable", IF(((50 - I21) / (1 - J21)) &lt; 0, "Already attained", ((50 - I21) / (1 - J21))))), "-")</f>
        <v>-</v>
      </c>
      <c r="O21" s="335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27.6" thickTop="1" thickBot="1">
      <c r="A22" s="326" t="s">
        <v>282</v>
      </c>
      <c r="B22" s="325" t="s">
        <v>283</v>
      </c>
      <c r="C22" s="318">
        <v>5</v>
      </c>
      <c r="D22" s="319">
        <v>0.4</v>
      </c>
      <c r="E22" s="320" t="s">
        <v>281</v>
      </c>
      <c r="F22" s="321"/>
      <c r="G22" s="320"/>
      <c r="H22" s="322"/>
      <c r="I22" s="323" t="e">
        <f>IF(F22=1, H22, SUMPRODUCT(H22:H22, F22:F22))</f>
        <v>#VALUE!</v>
      </c>
      <c r="J22" s="323" t="e">
        <f>SUMIF(H22:H22, "&lt;&gt;", F22:F22) / SUMIF(F22:F22, "&lt;&gt;")</f>
        <v>#DIV/0!</v>
      </c>
      <c r="K22" s="323" t="str">
        <f>IFERROR(I22/J22, "No grades yet")</f>
        <v>No grades yet</v>
      </c>
      <c r="L22" s="323" t="str">
        <f>IFERROR(IF(J22 = 1, "Completed module", IF(((70 - I22) / (1 - J22)) &gt; 100, "Unattainable", IF(((70 - I22) / (1 - J22)) &lt; 0, "Already attained", ((70 - I22) / (1 - J22))))), "-")</f>
        <v>-</v>
      </c>
      <c r="M22" s="323" t="str">
        <f>IFERROR(IF(J22 = 1, "Completed module", IF(((60 - I22) / (1 - J22)) &gt; 100, "Unattainable", IF(((60 - I22) / (1 - J22)) &lt; 0, "Already attained", ((60 - I22) / (1 - J22))))), "-")</f>
        <v>-</v>
      </c>
      <c r="N22" s="323" t="str">
        <f>IFERROR(IF(J22 = 1, "Completed module", IF(((50 - I22) / (1 - J22)) &gt; 100, "Unattainable", IF(((50 - I22) / (1 - J22)) &lt; 0, "Already attained", ((50 - I22) / (1 - J22))))), "-")</f>
        <v>-</v>
      </c>
      <c r="O22" s="324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/>
  </sheetData>
  <mergeCells count="67">
    <mergeCell ref="K18:K20"/>
    <mergeCell ref="L18:L20"/>
    <mergeCell ref="M18:M20"/>
    <mergeCell ref="N18:N20"/>
    <mergeCell ref="O18:O20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K10:K12"/>
    <mergeCell ref="L10:L12"/>
    <mergeCell ref="M10:M12"/>
    <mergeCell ref="N10:N12"/>
    <mergeCell ref="O10:O12"/>
    <mergeCell ref="A13:A14"/>
    <mergeCell ref="B13:B14"/>
    <mergeCell ref="C13:C14"/>
    <mergeCell ref="D13:D14"/>
    <mergeCell ref="M6:M9"/>
    <mergeCell ref="N6:N9"/>
    <mergeCell ref="O6:O9"/>
    <mergeCell ref="A10:A12"/>
    <mergeCell ref="B10:B12"/>
    <mergeCell ref="C10:C12"/>
    <mergeCell ref="D10:D12"/>
    <mergeCell ref="I10:I12"/>
    <mergeCell ref="J10:J12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E1:G1"/>
    <mergeCell ref="A2:A5"/>
    <mergeCell ref="B2:B5"/>
    <mergeCell ref="C2:C5"/>
    <mergeCell ref="D2:D5"/>
    <mergeCell ref="I2:I5"/>
    <mergeCell ref="J2:J5"/>
    <mergeCell ref="K2:K5"/>
    <mergeCell ref="L2:L5"/>
    <mergeCell ref="M2:M5"/>
  </mergeCells>
  <conditionalFormatting sqref="H2:H5">
    <cfRule type="expression" dxfId="265" priority="1" stopIfTrue="1">
      <formula>ISBLANK(H2)</formula>
    </cfRule>
    <cfRule type="cellIs" dxfId="264" priority="2" stopIfTrue="1" operator="equal">
      <formula>"No grades yet"</formula>
    </cfRule>
    <cfRule type="cellIs" dxfId="263" priority="3" stopIfTrue="1" operator="greaterThanOrEqual">
      <formula>70</formula>
    </cfRule>
    <cfRule type="cellIs" dxfId="262" priority="4" stopIfTrue="1" operator="between">
      <formula>60</formula>
      <formula>69.999</formula>
    </cfRule>
    <cfRule type="cellIs" dxfId="261" priority="5" stopIfTrue="1" operator="between">
      <formula>50</formula>
      <formula>59.999</formula>
    </cfRule>
    <cfRule type="cellIs" dxfId="260" priority="6" stopIfTrue="1" operator="between">
      <formula>40</formula>
      <formula>49.999</formula>
    </cfRule>
    <cfRule type="cellIs" dxfId="259" priority="7" stopIfTrue="1" operator="lessThan">
      <formula>40</formula>
    </cfRule>
  </conditionalFormatting>
  <conditionalFormatting sqref="K2:K5">
    <cfRule type="expression" dxfId="258" priority="8" stopIfTrue="1">
      <formula>ISBLANK(K2)</formula>
    </cfRule>
    <cfRule type="cellIs" dxfId="257" priority="9" stopIfTrue="1" operator="equal">
      <formula>"No grades yet"</formula>
    </cfRule>
    <cfRule type="cellIs" dxfId="256" priority="10" stopIfTrue="1" operator="greaterThanOrEqual">
      <formula>70</formula>
    </cfRule>
    <cfRule type="cellIs" dxfId="255" priority="11" stopIfTrue="1" operator="between">
      <formula>60</formula>
      <formula>69.999</formula>
    </cfRule>
    <cfRule type="cellIs" dxfId="254" priority="12" stopIfTrue="1" operator="between">
      <formula>50</formula>
      <formula>59.999</formula>
    </cfRule>
    <cfRule type="cellIs" dxfId="253" priority="13" stopIfTrue="1" operator="between">
      <formula>40</formula>
      <formula>49.999</formula>
    </cfRule>
    <cfRule type="cellIs" dxfId="252" priority="14" stopIfTrue="1" operator="lessThan">
      <formula>40</formula>
    </cfRule>
  </conditionalFormatting>
  <conditionalFormatting sqref="H6:H9">
    <cfRule type="expression" dxfId="251" priority="15" stopIfTrue="1">
      <formula>ISBLANK(H6)</formula>
    </cfRule>
    <cfRule type="cellIs" dxfId="250" priority="16" stopIfTrue="1" operator="equal">
      <formula>"No grades yet"</formula>
    </cfRule>
    <cfRule type="cellIs" dxfId="249" priority="17" stopIfTrue="1" operator="greaterThanOrEqual">
      <formula>70</formula>
    </cfRule>
    <cfRule type="cellIs" dxfId="248" priority="18" stopIfTrue="1" operator="between">
      <formula>60</formula>
      <formula>69.999</formula>
    </cfRule>
    <cfRule type="cellIs" dxfId="247" priority="19" stopIfTrue="1" operator="between">
      <formula>50</formula>
      <formula>59.999</formula>
    </cfRule>
    <cfRule type="cellIs" dxfId="246" priority="20" stopIfTrue="1" operator="between">
      <formula>40</formula>
      <formula>49.999</formula>
    </cfRule>
    <cfRule type="cellIs" dxfId="245" priority="21" stopIfTrue="1" operator="lessThan">
      <formula>40</formula>
    </cfRule>
  </conditionalFormatting>
  <conditionalFormatting sqref="K6:K9">
    <cfRule type="expression" dxfId="244" priority="22" stopIfTrue="1">
      <formula>ISBLANK(K6)</formula>
    </cfRule>
    <cfRule type="cellIs" dxfId="243" priority="23" stopIfTrue="1" operator="equal">
      <formula>"No grades yet"</formula>
    </cfRule>
    <cfRule type="cellIs" dxfId="242" priority="24" stopIfTrue="1" operator="greaterThanOrEqual">
      <formula>70</formula>
    </cfRule>
    <cfRule type="cellIs" dxfId="241" priority="25" stopIfTrue="1" operator="between">
      <formula>60</formula>
      <formula>69.999</formula>
    </cfRule>
    <cfRule type="cellIs" dxfId="240" priority="26" stopIfTrue="1" operator="between">
      <formula>50</formula>
      <formula>59.999</formula>
    </cfRule>
    <cfRule type="cellIs" dxfId="239" priority="27" stopIfTrue="1" operator="between">
      <formula>40</formula>
      <formula>49.999</formula>
    </cfRule>
    <cfRule type="cellIs" dxfId="238" priority="28" stopIfTrue="1" operator="lessThan">
      <formula>40</formula>
    </cfRule>
  </conditionalFormatting>
  <conditionalFormatting sqref="H10:H12">
    <cfRule type="expression" dxfId="237" priority="29" stopIfTrue="1">
      <formula>ISBLANK(H10)</formula>
    </cfRule>
    <cfRule type="cellIs" dxfId="236" priority="30" stopIfTrue="1" operator="equal">
      <formula>"No grades yet"</formula>
    </cfRule>
    <cfRule type="cellIs" dxfId="235" priority="31" stopIfTrue="1" operator="greaterThanOrEqual">
      <formula>70</formula>
    </cfRule>
    <cfRule type="cellIs" dxfId="234" priority="32" stopIfTrue="1" operator="between">
      <formula>60</formula>
      <formula>69.999</formula>
    </cfRule>
    <cfRule type="cellIs" dxfId="233" priority="33" stopIfTrue="1" operator="between">
      <formula>50</formula>
      <formula>59.999</formula>
    </cfRule>
    <cfRule type="cellIs" dxfId="232" priority="34" stopIfTrue="1" operator="between">
      <formula>40</formula>
      <formula>49.999</formula>
    </cfRule>
    <cfRule type="cellIs" dxfId="231" priority="35" stopIfTrue="1" operator="lessThan">
      <formula>40</formula>
    </cfRule>
  </conditionalFormatting>
  <conditionalFormatting sqref="K10:K12">
    <cfRule type="expression" dxfId="230" priority="36" stopIfTrue="1">
      <formula>ISBLANK(K10)</formula>
    </cfRule>
    <cfRule type="cellIs" dxfId="229" priority="37" stopIfTrue="1" operator="equal">
      <formula>"No grades yet"</formula>
    </cfRule>
    <cfRule type="cellIs" dxfId="228" priority="38" stopIfTrue="1" operator="greaterThanOrEqual">
      <formula>70</formula>
    </cfRule>
    <cfRule type="cellIs" dxfId="227" priority="39" stopIfTrue="1" operator="between">
      <formula>60</formula>
      <formula>69.999</formula>
    </cfRule>
    <cfRule type="cellIs" dxfId="226" priority="40" stopIfTrue="1" operator="between">
      <formula>50</formula>
      <formula>59.999</formula>
    </cfRule>
    <cfRule type="cellIs" dxfId="225" priority="41" stopIfTrue="1" operator="between">
      <formula>40</formula>
      <formula>49.999</formula>
    </cfRule>
    <cfRule type="cellIs" dxfId="224" priority="42" stopIfTrue="1" operator="lessThan">
      <formula>40</formula>
    </cfRule>
  </conditionalFormatting>
  <conditionalFormatting sqref="H13:H14">
    <cfRule type="expression" dxfId="223" priority="43" stopIfTrue="1">
      <formula>ISBLANK(H13)</formula>
    </cfRule>
    <cfRule type="cellIs" dxfId="222" priority="44" stopIfTrue="1" operator="equal">
      <formula>"No grades yet"</formula>
    </cfRule>
    <cfRule type="cellIs" dxfId="221" priority="45" stopIfTrue="1" operator="greaterThanOrEqual">
      <formula>70</formula>
    </cfRule>
    <cfRule type="cellIs" dxfId="220" priority="46" stopIfTrue="1" operator="between">
      <formula>60</formula>
      <formula>69.999</formula>
    </cfRule>
    <cfRule type="cellIs" dxfId="219" priority="47" stopIfTrue="1" operator="between">
      <formula>50</formula>
      <formula>59.999</formula>
    </cfRule>
    <cfRule type="cellIs" dxfId="218" priority="48" stopIfTrue="1" operator="between">
      <formula>40</formula>
      <formula>49.999</formula>
    </cfRule>
    <cfRule type="cellIs" dxfId="217" priority="49" stopIfTrue="1" operator="lessThan">
      <formula>40</formula>
    </cfRule>
  </conditionalFormatting>
  <conditionalFormatting sqref="K13:K14">
    <cfRule type="expression" dxfId="216" priority="50" stopIfTrue="1">
      <formula>ISBLANK(K13)</formula>
    </cfRule>
    <cfRule type="cellIs" dxfId="215" priority="51" stopIfTrue="1" operator="equal">
      <formula>"No grades yet"</formula>
    </cfRule>
    <cfRule type="cellIs" dxfId="214" priority="52" stopIfTrue="1" operator="greaterThanOrEqual">
      <formula>70</formula>
    </cfRule>
    <cfRule type="cellIs" dxfId="213" priority="53" stopIfTrue="1" operator="between">
      <formula>60</formula>
      <formula>69.999</formula>
    </cfRule>
    <cfRule type="cellIs" dxfId="212" priority="54" stopIfTrue="1" operator="between">
      <formula>50</formula>
      <formula>59.999</formula>
    </cfRule>
    <cfRule type="cellIs" dxfId="211" priority="55" stopIfTrue="1" operator="between">
      <formula>40</formula>
      <formula>49.999</formula>
    </cfRule>
    <cfRule type="cellIs" dxfId="210" priority="56" stopIfTrue="1" operator="lessThan">
      <formula>40</formula>
    </cfRule>
  </conditionalFormatting>
  <conditionalFormatting sqref="H15:H17">
    <cfRule type="expression" dxfId="209" priority="57" stopIfTrue="1">
      <formula>ISBLANK(H15)</formula>
    </cfRule>
    <cfRule type="cellIs" dxfId="208" priority="58" stopIfTrue="1" operator="equal">
      <formula>"No grades yet"</formula>
    </cfRule>
    <cfRule type="cellIs" dxfId="207" priority="59" stopIfTrue="1" operator="greaterThanOrEqual">
      <formula>70</formula>
    </cfRule>
    <cfRule type="cellIs" dxfId="206" priority="60" stopIfTrue="1" operator="between">
      <formula>60</formula>
      <formula>69.999</formula>
    </cfRule>
    <cfRule type="cellIs" dxfId="205" priority="61" stopIfTrue="1" operator="between">
      <formula>50</formula>
      <formula>59.999</formula>
    </cfRule>
    <cfRule type="cellIs" dxfId="204" priority="62" stopIfTrue="1" operator="between">
      <formula>40</formula>
      <formula>49.999</formula>
    </cfRule>
    <cfRule type="cellIs" dxfId="203" priority="63" stopIfTrue="1" operator="lessThan">
      <formula>40</formula>
    </cfRule>
  </conditionalFormatting>
  <conditionalFormatting sqref="K15:K17">
    <cfRule type="expression" dxfId="202" priority="64" stopIfTrue="1">
      <formula>ISBLANK(K15)</formula>
    </cfRule>
    <cfRule type="cellIs" dxfId="201" priority="65" stopIfTrue="1" operator="equal">
      <formula>"No grades yet"</formula>
    </cfRule>
    <cfRule type="cellIs" dxfId="200" priority="66" stopIfTrue="1" operator="greaterThanOrEqual">
      <formula>70</formula>
    </cfRule>
    <cfRule type="cellIs" dxfId="199" priority="67" stopIfTrue="1" operator="between">
      <formula>60</formula>
      <formula>69.999</formula>
    </cfRule>
    <cfRule type="cellIs" dxfId="198" priority="68" stopIfTrue="1" operator="between">
      <formula>50</formula>
      <formula>59.999</formula>
    </cfRule>
    <cfRule type="cellIs" dxfId="197" priority="69" stopIfTrue="1" operator="between">
      <formula>40</formula>
      <formula>49.999</formula>
    </cfRule>
    <cfRule type="cellIs" dxfId="196" priority="70" stopIfTrue="1" operator="lessThan">
      <formula>40</formula>
    </cfRule>
  </conditionalFormatting>
  <conditionalFormatting sqref="H18:H20">
    <cfRule type="expression" dxfId="195" priority="71" stopIfTrue="1">
      <formula>ISBLANK(H18)</formula>
    </cfRule>
    <cfRule type="cellIs" dxfId="194" priority="72" stopIfTrue="1" operator="equal">
      <formula>"No grades yet"</formula>
    </cfRule>
    <cfRule type="cellIs" dxfId="193" priority="73" stopIfTrue="1" operator="greaterThanOrEqual">
      <formula>70</formula>
    </cfRule>
    <cfRule type="cellIs" dxfId="192" priority="74" stopIfTrue="1" operator="between">
      <formula>60</formula>
      <formula>69.999</formula>
    </cfRule>
    <cfRule type="cellIs" dxfId="191" priority="75" stopIfTrue="1" operator="between">
      <formula>50</formula>
      <formula>59.999</formula>
    </cfRule>
    <cfRule type="cellIs" dxfId="190" priority="76" stopIfTrue="1" operator="between">
      <formula>40</formula>
      <formula>49.999</formula>
    </cfRule>
    <cfRule type="cellIs" dxfId="189" priority="77" stopIfTrue="1" operator="lessThan">
      <formula>40</formula>
    </cfRule>
  </conditionalFormatting>
  <conditionalFormatting sqref="K18:K20">
    <cfRule type="expression" dxfId="188" priority="78" stopIfTrue="1">
      <formula>ISBLANK(K18)</formula>
    </cfRule>
    <cfRule type="cellIs" dxfId="187" priority="79" stopIfTrue="1" operator="equal">
      <formula>"No grades yet"</formula>
    </cfRule>
    <cfRule type="cellIs" dxfId="186" priority="80" stopIfTrue="1" operator="greaterThanOrEqual">
      <formula>70</formula>
    </cfRule>
    <cfRule type="cellIs" dxfId="185" priority="81" stopIfTrue="1" operator="between">
      <formula>60</formula>
      <formula>69.999</formula>
    </cfRule>
    <cfRule type="cellIs" dxfId="184" priority="82" stopIfTrue="1" operator="between">
      <formula>50</formula>
      <formula>59.999</formula>
    </cfRule>
    <cfRule type="cellIs" dxfId="183" priority="83" stopIfTrue="1" operator="between">
      <formula>40</formula>
      <formula>49.999</formula>
    </cfRule>
    <cfRule type="cellIs" dxfId="182" priority="84" stopIfTrue="1" operator="lessThan">
      <formula>40</formula>
    </cfRule>
  </conditionalFormatting>
  <conditionalFormatting sqref="H21">
    <cfRule type="expression" dxfId="181" priority="85" stopIfTrue="1">
      <formula>ISBLANK(H21)</formula>
    </cfRule>
    <cfRule type="cellIs" dxfId="180" priority="86" stopIfTrue="1" operator="equal">
      <formula>"No grades yet"</formula>
    </cfRule>
    <cfRule type="cellIs" dxfId="179" priority="87" stopIfTrue="1" operator="greaterThanOrEqual">
      <formula>70</formula>
    </cfRule>
    <cfRule type="cellIs" dxfId="178" priority="88" stopIfTrue="1" operator="between">
      <formula>60</formula>
      <formula>69.999</formula>
    </cfRule>
    <cfRule type="cellIs" dxfId="177" priority="89" stopIfTrue="1" operator="between">
      <formula>50</formula>
      <formula>59.999</formula>
    </cfRule>
    <cfRule type="cellIs" dxfId="176" priority="90" stopIfTrue="1" operator="between">
      <formula>40</formula>
      <formula>49.999</formula>
    </cfRule>
    <cfRule type="cellIs" dxfId="175" priority="91" stopIfTrue="1" operator="lessThan">
      <formula>40</formula>
    </cfRule>
  </conditionalFormatting>
  <conditionalFormatting sqref="K21">
    <cfRule type="expression" dxfId="174" priority="92" stopIfTrue="1">
      <formula>ISBLANK(K21)</formula>
    </cfRule>
    <cfRule type="cellIs" dxfId="173" priority="93" stopIfTrue="1" operator="equal">
      <formula>"No grades yet"</formula>
    </cfRule>
    <cfRule type="cellIs" dxfId="172" priority="94" stopIfTrue="1" operator="greaterThanOrEqual">
      <formula>70</formula>
    </cfRule>
    <cfRule type="cellIs" dxfId="171" priority="95" stopIfTrue="1" operator="between">
      <formula>60</formula>
      <formula>69.999</formula>
    </cfRule>
    <cfRule type="cellIs" dxfId="170" priority="96" stopIfTrue="1" operator="between">
      <formula>50</formula>
      <formula>59.999</formula>
    </cfRule>
    <cfRule type="cellIs" dxfId="169" priority="97" stopIfTrue="1" operator="between">
      <formula>40</formula>
      <formula>49.999</formula>
    </cfRule>
    <cfRule type="cellIs" dxfId="168" priority="98" stopIfTrue="1" operator="lessThan">
      <formula>40</formula>
    </cfRule>
  </conditionalFormatting>
  <conditionalFormatting sqref="H22">
    <cfRule type="expression" dxfId="167" priority="99" stopIfTrue="1">
      <formula>ISBLANK(H22)</formula>
    </cfRule>
    <cfRule type="cellIs" dxfId="166" priority="100" stopIfTrue="1" operator="equal">
      <formula>"No grades yet"</formula>
    </cfRule>
    <cfRule type="cellIs" dxfId="165" priority="101" stopIfTrue="1" operator="greaterThanOrEqual">
      <formula>70</formula>
    </cfRule>
    <cfRule type="cellIs" dxfId="164" priority="102" stopIfTrue="1" operator="between">
      <formula>60</formula>
      <formula>69.999</formula>
    </cfRule>
    <cfRule type="cellIs" dxfId="163" priority="103" stopIfTrue="1" operator="between">
      <formula>50</formula>
      <formula>59.999</formula>
    </cfRule>
    <cfRule type="cellIs" dxfId="162" priority="104" stopIfTrue="1" operator="between">
      <formula>40</formula>
      <formula>49.999</formula>
    </cfRule>
    <cfRule type="cellIs" dxfId="161" priority="105" stopIfTrue="1" operator="lessThan">
      <formula>40</formula>
    </cfRule>
  </conditionalFormatting>
  <conditionalFormatting sqref="K22">
    <cfRule type="expression" dxfId="160" priority="106" stopIfTrue="1">
      <formula>ISBLANK(K22)</formula>
    </cfRule>
    <cfRule type="cellIs" dxfId="159" priority="107" stopIfTrue="1" operator="equal">
      <formula>"No grades yet"</formula>
    </cfRule>
    <cfRule type="cellIs" dxfId="158" priority="108" stopIfTrue="1" operator="greaterThanOrEqual">
      <formula>70</formula>
    </cfRule>
    <cfRule type="cellIs" dxfId="157" priority="109" stopIfTrue="1" operator="between">
      <formula>60</formula>
      <formula>69.999</formula>
    </cfRule>
    <cfRule type="cellIs" dxfId="156" priority="110" stopIfTrue="1" operator="between">
      <formula>50</formula>
      <formula>59.999</formula>
    </cfRule>
    <cfRule type="cellIs" dxfId="155" priority="111" stopIfTrue="1" operator="between">
      <formula>40</formula>
      <formula>49.999</formula>
    </cfRule>
    <cfRule type="cellIs" dxfId="154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H25" sqref="H25"/>
    </sheetView>
  </sheetViews>
  <sheetFormatPr defaultRowHeight="13.2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customWidth="1"/>
    <col min="14" max="14" width="18.109375" customWidth="1"/>
    <col min="15" max="15" width="19.5546875" customWidth="1"/>
  </cols>
  <sheetData>
    <row r="1" spans="1:15" ht="40.799999999999997" customHeight="1" thickTop="1" thickBot="1">
      <c r="A1" s="293" t="s">
        <v>67</v>
      </c>
      <c r="B1" s="294" t="s">
        <v>3</v>
      </c>
      <c r="C1" s="294" t="s">
        <v>0</v>
      </c>
      <c r="D1" s="294" t="s">
        <v>93</v>
      </c>
      <c r="E1" s="295" t="s">
        <v>267</v>
      </c>
      <c r="F1" s="295"/>
      <c r="G1" s="295"/>
      <c r="H1" s="294" t="s">
        <v>4</v>
      </c>
      <c r="I1" s="294" t="s">
        <v>5</v>
      </c>
      <c r="J1" s="294" t="s">
        <v>6</v>
      </c>
      <c r="K1" s="294" t="s">
        <v>7</v>
      </c>
      <c r="L1" s="294" t="s">
        <v>236</v>
      </c>
      <c r="M1" s="294" t="s">
        <v>9</v>
      </c>
      <c r="N1" s="294" t="s">
        <v>237</v>
      </c>
      <c r="O1" s="296" t="s">
        <v>238</v>
      </c>
    </row>
    <row r="2" spans="1:15" ht="13.8" thickTop="1">
      <c r="A2" s="350" t="s">
        <v>284</v>
      </c>
      <c r="B2" s="347" t="s">
        <v>285</v>
      </c>
      <c r="C2" s="340">
        <v>7.5</v>
      </c>
      <c r="D2" s="341">
        <v>0.4</v>
      </c>
      <c r="E2" s="342" t="s">
        <v>193</v>
      </c>
      <c r="F2" s="343">
        <v>0.7</v>
      </c>
      <c r="G2" s="342" t="s">
        <v>252</v>
      </c>
      <c r="H2" s="291"/>
      <c r="I2" s="292">
        <f>IF(F2=1, H2, SUMPRODUCT(H2:H4, F2:F4))</f>
        <v>0</v>
      </c>
      <c r="J2" s="292">
        <f>SUMIF(H2:H4, "&lt;&gt;", F2:F4) / SUMIF(F2:F4, "&lt;&gt;")</f>
        <v>0</v>
      </c>
      <c r="K2" s="292" t="str">
        <f>IFERROR(I2/J2, "No grades yet")</f>
        <v>No grades yet</v>
      </c>
      <c r="L2" s="292">
        <f>IFERROR(IF(J2 = 1, "Completed module", IF(((70 - I2) / (1 - J2)) &gt; 100, "Unattainable", IF(((70 - I2) / (1 - J2)) &lt; 0, "Already attained", ((70 - I2) / (1 - J2))))), "-")</f>
        <v>70</v>
      </c>
      <c r="M2" s="292">
        <f>IFERROR(IF(J2 = 1, "Completed module", IF(((60 - I2) / (1 - J2)) &gt; 100, "Unattainable", IF(((60 - I2) / (1 - J2)) &lt; 0, "Already attained", ((60 - I2) / (1 - J2))))), "-")</f>
        <v>60</v>
      </c>
      <c r="N2" s="292">
        <f>IFERROR(IF(J2 = 1, "Completed module", IF(((50 - I2) / (1 - J2)) &gt; 100, "Unattainable", IF(((50 - I2) / (1 - J2)) &lt; 0, "Already attained", ((50 - I2) / (1 - J2))))), "-")</f>
        <v>50</v>
      </c>
      <c r="O2" s="299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351"/>
      <c r="B3" s="348"/>
      <c r="C3" s="336"/>
      <c r="D3" s="337"/>
      <c r="E3" s="338" t="s">
        <v>231</v>
      </c>
      <c r="F3" s="339">
        <v>0.2</v>
      </c>
      <c r="G3" s="338" t="s">
        <v>286</v>
      </c>
      <c r="H3" s="288"/>
      <c r="I3" s="287"/>
      <c r="J3" s="287"/>
      <c r="K3" s="287"/>
      <c r="L3" s="287"/>
      <c r="M3" s="287"/>
      <c r="N3" s="287"/>
      <c r="O3" s="300"/>
    </row>
    <row r="4" spans="1:15" ht="13.8" thickBot="1">
      <c r="A4" s="354"/>
      <c r="B4" s="355"/>
      <c r="C4" s="356"/>
      <c r="D4" s="357"/>
      <c r="E4" s="358" t="s">
        <v>231</v>
      </c>
      <c r="F4" s="359">
        <v>0.1</v>
      </c>
      <c r="G4" s="358" t="s">
        <v>287</v>
      </c>
      <c r="H4" s="312"/>
      <c r="I4" s="313"/>
      <c r="J4" s="313"/>
      <c r="K4" s="313"/>
      <c r="L4" s="313"/>
      <c r="M4" s="313"/>
      <c r="N4" s="313"/>
      <c r="O4" s="314"/>
    </row>
    <row r="5" spans="1:15" ht="13.8" thickTop="1">
      <c r="A5" s="350" t="s">
        <v>288</v>
      </c>
      <c r="B5" s="347" t="s">
        <v>289</v>
      </c>
      <c r="C5" s="353">
        <v>5</v>
      </c>
      <c r="D5" s="341">
        <v>0.4</v>
      </c>
      <c r="E5" s="342" t="s">
        <v>193</v>
      </c>
      <c r="F5" s="343">
        <v>0.6</v>
      </c>
      <c r="G5" s="342" t="s">
        <v>252</v>
      </c>
      <c r="H5" s="291"/>
      <c r="I5" s="292">
        <f>IF(F5=1, H5, SUMPRODUCT(H5:H6, F5:F6))</f>
        <v>0</v>
      </c>
      <c r="J5" s="292">
        <f>SUMIF(H5:H6, "&lt;&gt;", F5:F6) / SUMIF(F5:F6, "&lt;&gt;")</f>
        <v>0</v>
      </c>
      <c r="K5" s="292" t="str">
        <f>IFERROR(I5/J5, "No grades yet")</f>
        <v>No grades yet</v>
      </c>
      <c r="L5" s="292">
        <f>IFERROR(IF(J5 = 1, "Completed module", IF(((70 - I5) / (1 - J5)) &gt; 100, "Unattainable", IF(((70 - I5) / (1 - J5)) &lt; 0, "Already attained", ((70 - I5) / (1 - J5))))), "-")</f>
        <v>70</v>
      </c>
      <c r="M5" s="292">
        <f>IFERROR(IF(J5 = 1, "Completed module", IF(((60 - I5) / (1 - J5)) &gt; 100, "Unattainable", IF(((60 - I5) / (1 - J5)) &lt; 0, "Already attained", ((60 - I5) / (1 - J5))))), "-")</f>
        <v>60</v>
      </c>
      <c r="N5" s="292">
        <f>IFERROR(IF(J5 = 1, "Completed module", IF(((50 - I5) / (1 - J5)) &gt; 100, "Unattainable", IF(((50 - I5) / (1 - J5)) &lt; 0, "Already attained", ((50 - I5) / (1 - J5))))), "-")</f>
        <v>50</v>
      </c>
      <c r="O5" s="299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>
      <c r="A6" s="354"/>
      <c r="B6" s="355"/>
      <c r="C6" s="361"/>
      <c r="D6" s="357"/>
      <c r="E6" s="358" t="s">
        <v>290</v>
      </c>
      <c r="F6" s="359">
        <v>0.4</v>
      </c>
      <c r="G6" s="358" t="s">
        <v>291</v>
      </c>
      <c r="H6" s="312"/>
      <c r="I6" s="313"/>
      <c r="J6" s="313"/>
      <c r="K6" s="313"/>
      <c r="L6" s="313"/>
      <c r="M6" s="313"/>
      <c r="N6" s="313"/>
      <c r="O6" s="314"/>
    </row>
    <row r="7" spans="1:15" ht="13.8" thickTop="1">
      <c r="A7" s="350" t="s">
        <v>301</v>
      </c>
      <c r="B7" s="347" t="s">
        <v>302</v>
      </c>
      <c r="C7" s="353">
        <v>5</v>
      </c>
      <c r="D7" s="341">
        <v>0.4</v>
      </c>
      <c r="E7" s="342" t="s">
        <v>193</v>
      </c>
      <c r="F7" s="343">
        <v>0.5</v>
      </c>
      <c r="G7" s="342" t="s">
        <v>268</v>
      </c>
      <c r="H7" s="291"/>
      <c r="I7" s="292">
        <f>IF(F7=1, H7, SUMPRODUCT(H7:H8, F7:F8))</f>
        <v>0</v>
      </c>
      <c r="J7" s="292">
        <f>SUMIF(H7:H8, "&lt;&gt;", F7:F8) / SUMIF(F7:F8, "&lt;&gt;")</f>
        <v>0</v>
      </c>
      <c r="K7" s="292" t="str">
        <f>IFERROR(I7/J7, "No grades yet")</f>
        <v>No grades yet</v>
      </c>
      <c r="L7" s="292">
        <f>IFERROR(IF(J7 = 1, "Completed module", IF(((70 - I7) / (1 - J7)) &gt; 100, "Unattainable", IF(((70 - I7) / (1 - J7)) &lt; 0, "Already attained", ((70 - I7) / (1 - J7))))), "-")</f>
        <v>70</v>
      </c>
      <c r="M7" s="292">
        <f>IFERROR(IF(J7 = 1, "Completed module", IF(((60 - I7) / (1 - J7)) &gt; 100, "Unattainable", IF(((60 - I7) / (1 - J7)) &lt; 0, "Already attained", ((60 - I7) / (1 - J7))))), "-")</f>
        <v>60</v>
      </c>
      <c r="N7" s="292">
        <f>IFERROR(IF(J7 = 1, "Completed module", IF(((50 - I7) / (1 - J7)) &gt; 100, "Unattainable", IF(((50 - I7) / (1 - J7)) &lt; 0, "Already attained", ((50 - I7) / (1 - J7))))), "-")</f>
        <v>50</v>
      </c>
      <c r="O7" s="299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>
      <c r="A8" s="354"/>
      <c r="B8" s="355"/>
      <c r="C8" s="361"/>
      <c r="D8" s="357"/>
      <c r="E8" s="358" t="s">
        <v>255</v>
      </c>
      <c r="F8" s="359">
        <v>0.5</v>
      </c>
      <c r="G8" s="358" t="s">
        <v>303</v>
      </c>
      <c r="H8" s="312"/>
      <c r="I8" s="313"/>
      <c r="J8" s="313"/>
      <c r="K8" s="313"/>
      <c r="L8" s="313"/>
      <c r="M8" s="313"/>
      <c r="N8" s="313"/>
      <c r="O8" s="314"/>
    </row>
    <row r="9" spans="1:15" ht="13.8" thickTop="1">
      <c r="A9" s="350" t="s">
        <v>304</v>
      </c>
      <c r="B9" s="347" t="s">
        <v>305</v>
      </c>
      <c r="C9" s="340">
        <v>7.5</v>
      </c>
      <c r="D9" s="341">
        <v>0.4</v>
      </c>
      <c r="E9" s="342" t="s">
        <v>276</v>
      </c>
      <c r="F9" s="343">
        <v>0.125</v>
      </c>
      <c r="G9" s="342" t="s">
        <v>306</v>
      </c>
      <c r="H9" s="291"/>
      <c r="I9" s="292">
        <f>IF(F9=1, H9, SUMPRODUCT(H9:H13, F9:F13))</f>
        <v>0</v>
      </c>
      <c r="J9" s="292">
        <f>SUMIF(H9:H13, "&lt;&gt;", F9:F13) / SUMIF(F9:F13, "&lt;&gt;")</f>
        <v>0</v>
      </c>
      <c r="K9" s="292" t="str">
        <f>IFERROR(I9/J9, "No grades yet")</f>
        <v>No grades yet</v>
      </c>
      <c r="L9" s="292">
        <f>IFERROR(IF(J9 = 1, "Completed module", IF(((70 - I9) / (1 - J9)) &gt; 100, "Unattainable", IF(((70 - I9) / (1 - J9)) &lt; 0, "Already attained", ((70 - I9) / (1 - J9))))), "-")</f>
        <v>70</v>
      </c>
      <c r="M9" s="292">
        <f>IFERROR(IF(J9 = 1, "Completed module", IF(((60 - I9) / (1 - J9)) &gt; 100, "Unattainable", IF(((60 - I9) / (1 - J9)) &lt; 0, "Already attained", ((60 - I9) / (1 - J9))))), "-")</f>
        <v>60</v>
      </c>
      <c r="N9" s="292">
        <f>IFERROR(IF(J9 = 1, "Completed module", IF(((50 - I9) / (1 - J9)) &gt; 100, "Unattainable", IF(((50 - I9) / (1 - J9)) &lt; 0, "Already attained", ((50 - I9) / (1 - J9))))), "-")</f>
        <v>50</v>
      </c>
      <c r="O9" s="299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351"/>
      <c r="B10" s="348"/>
      <c r="C10" s="336"/>
      <c r="D10" s="337"/>
      <c r="E10" s="338" t="s">
        <v>276</v>
      </c>
      <c r="F10" s="339">
        <v>0.125</v>
      </c>
      <c r="G10" s="338" t="s">
        <v>307</v>
      </c>
      <c r="H10" s="288"/>
      <c r="I10" s="287"/>
      <c r="J10" s="287"/>
      <c r="K10" s="287"/>
      <c r="L10" s="287"/>
      <c r="M10" s="287"/>
      <c r="N10" s="287"/>
      <c r="O10" s="300"/>
    </row>
    <row r="11" spans="1:15">
      <c r="A11" s="351"/>
      <c r="B11" s="348"/>
      <c r="C11" s="336"/>
      <c r="D11" s="337"/>
      <c r="E11" s="338" t="s">
        <v>308</v>
      </c>
      <c r="F11" s="339">
        <v>0.2</v>
      </c>
      <c r="G11" s="338" t="s">
        <v>309</v>
      </c>
      <c r="H11" s="288"/>
      <c r="I11" s="287"/>
      <c r="J11" s="287"/>
      <c r="K11" s="287"/>
      <c r="L11" s="287"/>
      <c r="M11" s="287"/>
      <c r="N11" s="287"/>
      <c r="O11" s="300"/>
    </row>
    <row r="12" spans="1:15">
      <c r="A12" s="351"/>
      <c r="B12" s="348"/>
      <c r="C12" s="336"/>
      <c r="D12" s="337"/>
      <c r="E12" s="338" t="s">
        <v>231</v>
      </c>
      <c r="F12" s="339">
        <v>0.25</v>
      </c>
      <c r="G12" s="338" t="s">
        <v>231</v>
      </c>
      <c r="H12" s="288"/>
      <c r="I12" s="287"/>
      <c r="J12" s="287"/>
      <c r="K12" s="287"/>
      <c r="L12" s="287"/>
      <c r="M12" s="287"/>
      <c r="N12" s="287"/>
      <c r="O12" s="300"/>
    </row>
    <row r="13" spans="1:15" ht="27" thickBot="1">
      <c r="A13" s="354"/>
      <c r="B13" s="355"/>
      <c r="C13" s="356"/>
      <c r="D13" s="357"/>
      <c r="E13" s="358" t="s">
        <v>242</v>
      </c>
      <c r="F13" s="359">
        <v>0.3</v>
      </c>
      <c r="G13" s="358" t="s">
        <v>310</v>
      </c>
      <c r="H13" s="312"/>
      <c r="I13" s="313"/>
      <c r="J13" s="313"/>
      <c r="K13" s="313"/>
      <c r="L13" s="313"/>
      <c r="M13" s="313"/>
      <c r="N13" s="313"/>
      <c r="O13" s="314"/>
    </row>
    <row r="14" spans="1:15" ht="14.4" thickTop="1" thickBot="1">
      <c r="A14" s="368" t="s">
        <v>311</v>
      </c>
      <c r="B14" s="369" t="s">
        <v>312</v>
      </c>
      <c r="C14" s="370">
        <v>5</v>
      </c>
      <c r="D14" s="371">
        <v>0.4</v>
      </c>
      <c r="E14" s="374" t="s">
        <v>242</v>
      </c>
      <c r="F14" s="375">
        <v>1</v>
      </c>
      <c r="G14" s="374" t="s">
        <v>313</v>
      </c>
      <c r="H14" s="333"/>
      <c r="I14" s="334">
        <f>IF(F14=1, H14, SUMPRODUCT(H14:H14, F14:F14))</f>
        <v>0</v>
      </c>
      <c r="J14" s="334">
        <f>SUMIF(H14:H14, "&lt;&gt;", F14:F14) / SUMIF(F14:F14, "&lt;&gt;")</f>
        <v>0</v>
      </c>
      <c r="K14" s="334" t="str">
        <f>IFERROR(I14/J14, "No grades yet")</f>
        <v>No grades yet</v>
      </c>
      <c r="L14" s="334">
        <f>IFERROR(IF(J14 = 1, "Completed module", IF(((70 - I14) / (1 - J14)) &gt; 100, "Unattainable", IF(((70 - I14) / (1 - J14)) &lt; 0, "Already attained", ((70 - I14) / (1 - J14))))), "-")</f>
        <v>70</v>
      </c>
      <c r="M14" s="334">
        <f>IFERROR(IF(J14 = 1, "Completed module", IF(((60 - I14) / (1 - J14)) &gt; 100, "Unattainable", IF(((60 - I14) / (1 - J14)) &lt; 0, "Already attained", ((60 - I14) / (1 - J14))))), "-")</f>
        <v>60</v>
      </c>
      <c r="N14" s="334">
        <f>IFERROR(IF(J14 = 1, "Completed module", IF(((50 - I14) / (1 - J14)) &gt; 100, "Unattainable", IF(((50 - I14) / (1 - J14)) &lt; 0, "Already attained", ((50 - I14) / (1 - J14))))), "-")</f>
        <v>50</v>
      </c>
      <c r="O14" s="335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>
      <c r="A15" s="368" t="s">
        <v>314</v>
      </c>
      <c r="B15" s="369" t="s">
        <v>315</v>
      </c>
      <c r="C15" s="370">
        <v>10</v>
      </c>
      <c r="D15" s="371">
        <v>0.4</v>
      </c>
      <c r="E15" s="374" t="s">
        <v>242</v>
      </c>
      <c r="F15" s="375">
        <v>1</v>
      </c>
      <c r="G15" s="374" t="s">
        <v>316</v>
      </c>
      <c r="H15" s="333"/>
      <c r="I15" s="334">
        <f>IF(F15=1, H15, SUMPRODUCT(H15:H15, F15:F15))</f>
        <v>0</v>
      </c>
      <c r="J15" s="334">
        <f>SUMIF(H15:H15, "&lt;&gt;", F15:F15) / SUMIF(F15:F15, "&lt;&gt;")</f>
        <v>0</v>
      </c>
      <c r="K15" s="334" t="str">
        <f>IFERROR(I15/J15, "No grades yet")</f>
        <v>No grades yet</v>
      </c>
      <c r="L15" s="334">
        <f>IFERROR(IF(J15 = 1, "Completed module", IF(((70 - I15) / (1 - J15)) &gt; 100, "Unattainable", IF(((70 - I15) / (1 - J15)) &lt; 0, "Already attained", ((70 - I15) / (1 - J15))))), "-")</f>
        <v>70</v>
      </c>
      <c r="M15" s="334">
        <f>IFERROR(IF(J15 = 1, "Completed module", IF(((60 - I15) / (1 - J15)) &gt; 100, "Unattainable", IF(((60 - I15) / (1 - J15)) &lt; 0, "Already attained", ((60 - I15) / (1 - J15))))), "-")</f>
        <v>60</v>
      </c>
      <c r="N15" s="334">
        <f>IFERROR(IF(J15 = 1, "Completed module", IF(((50 - I15) / (1 - J15)) &gt; 100, "Unattainable", IF(((50 - I15) / (1 - J15)) &lt; 0, "Already attained", ((50 - I15) / (1 - J15))))), "-")</f>
        <v>50</v>
      </c>
      <c r="O15" s="335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>
      <c r="A16" s="350" t="s">
        <v>317</v>
      </c>
      <c r="B16" s="347" t="s">
        <v>318</v>
      </c>
      <c r="C16" s="353">
        <v>5</v>
      </c>
      <c r="D16" s="341">
        <v>0.4</v>
      </c>
      <c r="E16" s="342" t="s">
        <v>242</v>
      </c>
      <c r="F16" s="343">
        <v>0.4</v>
      </c>
      <c r="G16" s="342" t="s">
        <v>319</v>
      </c>
      <c r="H16" s="291"/>
      <c r="I16" s="292">
        <f>IF(F16=1, H16, SUMPRODUCT(H16:H17, F16:F17))</f>
        <v>0</v>
      </c>
      <c r="J16" s="292">
        <f>SUMIF(H16:H17, "&lt;&gt;", F16:F17) / SUMIF(F16:F17, "&lt;&gt;")</f>
        <v>0</v>
      </c>
      <c r="K16" s="292" t="str">
        <f>IFERROR(I16/J16, "No grades yet")</f>
        <v>No grades yet</v>
      </c>
      <c r="L16" s="292">
        <f>IFERROR(IF(J16 = 1, "Completed module", IF(((70 - I16) / (1 - J16)) &gt; 100, "Unattainable", IF(((70 - I16) / (1 - J16)) &lt; 0, "Already attained", ((70 - I16) / (1 - J16))))), "-")</f>
        <v>70</v>
      </c>
      <c r="M16" s="292">
        <f>IFERROR(IF(J16 = 1, "Completed module", IF(((60 - I16) / (1 - J16)) &gt; 100, "Unattainable", IF(((60 - I16) / (1 - J16)) &lt; 0, "Already attained", ((60 - I16) / (1 - J16))))), "-")</f>
        <v>60</v>
      </c>
      <c r="N16" s="292">
        <f>IFERROR(IF(J16 = 1, "Completed module", IF(((50 - I16) / (1 - J16)) &gt; 100, "Unattainable", IF(((50 - I16) / (1 - J16)) &lt; 0, "Already attained", ((50 - I16) / (1 - J16))))), "-")</f>
        <v>50</v>
      </c>
      <c r="O16" s="299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>
      <c r="A17" s="352"/>
      <c r="B17" s="349"/>
      <c r="C17" s="360"/>
      <c r="D17" s="344"/>
      <c r="E17" s="345" t="s">
        <v>244</v>
      </c>
      <c r="F17" s="346">
        <v>0.6</v>
      </c>
      <c r="G17" s="345" t="s">
        <v>320</v>
      </c>
      <c r="H17" s="297"/>
      <c r="I17" s="298"/>
      <c r="J17" s="298"/>
      <c r="K17" s="298"/>
      <c r="L17" s="298"/>
      <c r="M17" s="298"/>
      <c r="N17" s="298"/>
      <c r="O17" s="301"/>
    </row>
    <row r="18" spans="1:15" ht="13.8" thickTop="1">
      <c r="A18" s="376" t="s">
        <v>292</v>
      </c>
      <c r="B18" s="377" t="s">
        <v>293</v>
      </c>
      <c r="C18" s="378">
        <v>5</v>
      </c>
      <c r="D18" s="379">
        <v>0.4</v>
      </c>
      <c r="E18" s="380" t="s">
        <v>193</v>
      </c>
      <c r="F18" s="381">
        <v>0.8</v>
      </c>
      <c r="G18" s="380" t="s">
        <v>252</v>
      </c>
      <c r="H18" s="382"/>
      <c r="I18" s="383">
        <f>IF(F18=1, H18, SUMPRODUCT(H18:H19, F18:F19))</f>
        <v>0</v>
      </c>
      <c r="J18" s="383">
        <f>SUMIF(H18:H19, "&lt;&gt;", F18:F19) / SUMIF(F18:F19, "&lt;&gt;")</f>
        <v>0</v>
      </c>
      <c r="K18" s="383" t="str">
        <f>IFERROR(I18/J18, "No grades yet")</f>
        <v>No grades yet</v>
      </c>
      <c r="L18" s="383">
        <f>IFERROR(IF(J18 = 1, "Completed module", IF(((70 - I18) / (1 - J18)) &gt; 100, "Unattainable", IF(((70 - I18) / (1 - J18)) &lt; 0, "Already attained", ((70 - I18) / (1 - J18))))), "-")</f>
        <v>70</v>
      </c>
      <c r="M18" s="383">
        <f>IFERROR(IF(J18 = 1, "Completed module", IF(((60 - I18) / (1 - J18)) &gt; 100, "Unattainable", IF(((60 - I18) / (1 - J18)) &lt; 0, "Already attained", ((60 - I18) / (1 - J18))))), "-")</f>
        <v>60</v>
      </c>
      <c r="N18" s="383">
        <f>IFERROR(IF(J18 = 1, "Completed module", IF(((50 - I18) / (1 - J18)) &gt; 100, "Unattainable", IF(((50 - I18) / (1 - J18)) &lt; 0, "Already attained", ((50 - I18) / (1 - J18))))), "-")</f>
        <v>50</v>
      </c>
      <c r="O18" s="384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>
      <c r="A19" s="354"/>
      <c r="B19" s="355"/>
      <c r="C19" s="361"/>
      <c r="D19" s="357"/>
      <c r="E19" s="358" t="s">
        <v>294</v>
      </c>
      <c r="F19" s="359">
        <v>0.2</v>
      </c>
      <c r="G19" s="358" t="s">
        <v>295</v>
      </c>
      <c r="H19" s="312"/>
      <c r="I19" s="313"/>
      <c r="J19" s="313"/>
      <c r="K19" s="313"/>
      <c r="L19" s="313"/>
      <c r="M19" s="313"/>
      <c r="N19" s="313"/>
      <c r="O19" s="314"/>
    </row>
    <row r="20" spans="1:15" ht="40.799999999999997" thickTop="1" thickBot="1">
      <c r="A20" s="368" t="s">
        <v>296</v>
      </c>
      <c r="B20" s="369" t="s">
        <v>297</v>
      </c>
      <c r="C20" s="370">
        <v>6</v>
      </c>
      <c r="D20" s="371">
        <v>0.4</v>
      </c>
      <c r="E20" s="372" t="s">
        <v>298</v>
      </c>
      <c r="F20" s="373"/>
      <c r="G20" s="372"/>
      <c r="H20" s="333"/>
      <c r="I20" s="334" t="e">
        <f>IF(F20=1, H20, SUMPRODUCT(H20:H20, F20:F20))</f>
        <v>#VALUE!</v>
      </c>
      <c r="J20" s="334" t="e">
        <f>SUMIF(H20:H20, "&lt;&gt;", F20:F20) / SUMIF(F20:F20, "&lt;&gt;")</f>
        <v>#DIV/0!</v>
      </c>
      <c r="K20" s="334" t="str">
        <f>IFERROR(I20/J20, "No grades yet")</f>
        <v>No grades yet</v>
      </c>
      <c r="L20" s="334" t="str">
        <f>IFERROR(IF(J20 = 1, "Completed module", IF(((70 - I20) / (1 - J20)) &gt; 100, "Unattainable", IF(((70 - I20) / (1 - J20)) &lt; 0, "Already attained", ((70 - I20) / (1 - J20))))), "-")</f>
        <v>-</v>
      </c>
      <c r="M20" s="334" t="str">
        <f>IFERROR(IF(J20 = 1, "Completed module", IF(((60 - I20) / (1 - J20)) &gt; 100, "Unattainable", IF(((60 - I20) / (1 - J20)) &lt; 0, "Already attained", ((60 - I20) / (1 - J20))))), "-")</f>
        <v>-</v>
      </c>
      <c r="N20" s="334" t="str">
        <f>IFERROR(IF(J20 = 1, "Completed module", IF(((50 - I20) / (1 - J20)) &gt; 100, "Unattainable", IF(((50 - I20) / (1 - J20)) &lt; 0, "Already attained", ((50 - I20) / (1 - J20))))), "-")</f>
        <v>-</v>
      </c>
      <c r="O20" s="335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>
      <c r="A21" s="367" t="s">
        <v>299</v>
      </c>
      <c r="B21" s="366" t="s">
        <v>300</v>
      </c>
      <c r="C21" s="362">
        <v>6</v>
      </c>
      <c r="D21" s="363">
        <v>0.4</v>
      </c>
      <c r="E21" s="364" t="s">
        <v>298</v>
      </c>
      <c r="F21" s="365"/>
      <c r="G21" s="364"/>
      <c r="H21" s="322"/>
      <c r="I21" s="323" t="e">
        <f>IF(F21=1, H21, SUMPRODUCT(H21:H21, F21:F21))</f>
        <v>#VALUE!</v>
      </c>
      <c r="J21" s="323" t="e">
        <f>SUMIF(H21:H21, "&lt;&gt;", F21:F21) / SUMIF(F21:F21, "&lt;&gt;")</f>
        <v>#DIV/0!</v>
      </c>
      <c r="K21" s="323" t="str">
        <f>IFERROR(I21/J21, "No grades yet")</f>
        <v>No grades yet</v>
      </c>
      <c r="L21" s="323" t="str">
        <f>IFERROR(IF(J21 = 1, "Completed module", IF(((70 - I21) / (1 - J21)) &gt; 100, "Unattainable", IF(((70 - I21) / (1 - J21)) &lt; 0, "Already attained", ((70 - I21) / (1 - J21))))), "-")</f>
        <v>-</v>
      </c>
      <c r="M21" s="323" t="str">
        <f>IFERROR(IF(J21 = 1, "Completed module", IF(((60 - I21) / (1 - J21)) &gt; 100, "Unattainable", IF(((60 - I21) / (1 - J21)) &lt; 0, "Already attained", ((60 - I21) / (1 - J21))))), "-")</f>
        <v>-</v>
      </c>
      <c r="N21" s="323" t="str">
        <f>IFERROR(IF(J21 = 1, "Completed module", IF(((50 - I21) / (1 - J21)) &gt; 100, "Unattainable", IF(((50 - I21) / (1 - J21)) &lt; 0, "Already attained", ((50 - I21) / (1 - J21))))), "-")</f>
        <v>-</v>
      </c>
      <c r="O21" s="324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/>
  </sheetData>
  <mergeCells count="67"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N18:N19"/>
    <mergeCell ref="O18:O19"/>
    <mergeCell ref="I7:I8"/>
    <mergeCell ref="J7:J8"/>
    <mergeCell ref="K7:K8"/>
    <mergeCell ref="L7:L8"/>
    <mergeCell ref="M7:M8"/>
    <mergeCell ref="N7:N8"/>
    <mergeCell ref="O7:O8"/>
    <mergeCell ref="I9:I13"/>
    <mergeCell ref="J9:J13"/>
    <mergeCell ref="K9:K13"/>
    <mergeCell ref="L9:L13"/>
    <mergeCell ref="M9:M13"/>
    <mergeCell ref="I18:I19"/>
    <mergeCell ref="J18:J19"/>
    <mergeCell ref="K18:K19"/>
    <mergeCell ref="L18:L19"/>
    <mergeCell ref="M18:M19"/>
    <mergeCell ref="N2:N4"/>
    <mergeCell ref="O2:O4"/>
    <mergeCell ref="I5:I6"/>
    <mergeCell ref="J5:J6"/>
    <mergeCell ref="K5:K6"/>
    <mergeCell ref="L5:L6"/>
    <mergeCell ref="M5:M6"/>
    <mergeCell ref="N5:N6"/>
    <mergeCell ref="O5:O6"/>
    <mergeCell ref="I2:I4"/>
    <mergeCell ref="J2:J4"/>
    <mergeCell ref="K2:K4"/>
    <mergeCell ref="L2:L4"/>
    <mergeCell ref="M2:M4"/>
    <mergeCell ref="A2:A4"/>
    <mergeCell ref="B2:B4"/>
    <mergeCell ref="C2:C4"/>
    <mergeCell ref="D2:D4"/>
    <mergeCell ref="E1:G1"/>
    <mergeCell ref="A5:A6"/>
    <mergeCell ref="B5:B6"/>
    <mergeCell ref="C5:C6"/>
    <mergeCell ref="D5:D6"/>
    <mergeCell ref="A7:A8"/>
    <mergeCell ref="B7:B8"/>
    <mergeCell ref="C7:C8"/>
    <mergeCell ref="D7:D8"/>
    <mergeCell ref="A9:A13"/>
    <mergeCell ref="B9:B13"/>
    <mergeCell ref="C9:C13"/>
    <mergeCell ref="D9:D13"/>
    <mergeCell ref="A16:A17"/>
    <mergeCell ref="B16:B17"/>
    <mergeCell ref="C16:C17"/>
    <mergeCell ref="D16:D17"/>
    <mergeCell ref="A18:A19"/>
    <mergeCell ref="B18:B19"/>
    <mergeCell ref="C18:C19"/>
    <mergeCell ref="D18:D19"/>
  </mergeCells>
  <conditionalFormatting sqref="H2:H4">
    <cfRule type="expression" dxfId="153" priority="1" stopIfTrue="1">
      <formula>ISBLANK(H2)</formula>
    </cfRule>
    <cfRule type="cellIs" dxfId="152" priority="2" stopIfTrue="1" operator="equal">
      <formula>"No grades yet"</formula>
    </cfRule>
    <cfRule type="cellIs" dxfId="151" priority="3" stopIfTrue="1" operator="greaterThanOrEqual">
      <formula>70</formula>
    </cfRule>
    <cfRule type="cellIs" dxfId="150" priority="4" stopIfTrue="1" operator="between">
      <formula>60</formula>
      <formula>69.999</formula>
    </cfRule>
    <cfRule type="cellIs" dxfId="149" priority="5" stopIfTrue="1" operator="between">
      <formula>50</formula>
      <formula>59.999</formula>
    </cfRule>
    <cfRule type="cellIs" dxfId="148" priority="6" stopIfTrue="1" operator="between">
      <formula>40</formula>
      <formula>49.999</formula>
    </cfRule>
    <cfRule type="cellIs" dxfId="147" priority="7" stopIfTrue="1" operator="lessThan">
      <formula>40</formula>
    </cfRule>
  </conditionalFormatting>
  <conditionalFormatting sqref="K2:K4">
    <cfRule type="expression" dxfId="146" priority="8" stopIfTrue="1">
      <formula>ISBLANK(K2)</formula>
    </cfRule>
    <cfRule type="cellIs" dxfId="145" priority="9" stopIfTrue="1" operator="equal">
      <formula>"No grades yet"</formula>
    </cfRule>
    <cfRule type="cellIs" dxfId="144" priority="10" stopIfTrue="1" operator="greaterThanOrEqual">
      <formula>70</formula>
    </cfRule>
    <cfRule type="cellIs" dxfId="143" priority="11" stopIfTrue="1" operator="between">
      <formula>60</formula>
      <formula>69.999</formula>
    </cfRule>
    <cfRule type="cellIs" dxfId="142" priority="12" stopIfTrue="1" operator="between">
      <formula>50</formula>
      <formula>59.999</formula>
    </cfRule>
    <cfRule type="cellIs" dxfId="141" priority="13" stopIfTrue="1" operator="between">
      <formula>40</formula>
      <formula>49.999</formula>
    </cfRule>
    <cfRule type="cellIs" dxfId="140" priority="14" stopIfTrue="1" operator="lessThan">
      <formula>40</formula>
    </cfRule>
  </conditionalFormatting>
  <conditionalFormatting sqref="H5:H6">
    <cfRule type="expression" dxfId="139" priority="15" stopIfTrue="1">
      <formula>ISBLANK(H5)</formula>
    </cfRule>
    <cfRule type="cellIs" dxfId="138" priority="16" stopIfTrue="1" operator="equal">
      <formula>"No grades yet"</formula>
    </cfRule>
    <cfRule type="cellIs" dxfId="137" priority="17" stopIfTrue="1" operator="greaterThanOrEqual">
      <formula>70</formula>
    </cfRule>
    <cfRule type="cellIs" dxfId="136" priority="18" stopIfTrue="1" operator="between">
      <formula>60</formula>
      <formula>69.999</formula>
    </cfRule>
    <cfRule type="cellIs" dxfId="135" priority="19" stopIfTrue="1" operator="between">
      <formula>50</formula>
      <formula>59.999</formula>
    </cfRule>
    <cfRule type="cellIs" dxfId="134" priority="20" stopIfTrue="1" operator="between">
      <formula>40</formula>
      <formula>49.999</formula>
    </cfRule>
    <cfRule type="cellIs" dxfId="133" priority="21" stopIfTrue="1" operator="lessThan">
      <formula>40</formula>
    </cfRule>
  </conditionalFormatting>
  <conditionalFormatting sqref="K5:K6">
    <cfRule type="expression" dxfId="132" priority="22" stopIfTrue="1">
      <formula>ISBLANK(K5)</formula>
    </cfRule>
    <cfRule type="cellIs" dxfId="131" priority="23" stopIfTrue="1" operator="equal">
      <formula>"No grades yet"</formula>
    </cfRule>
    <cfRule type="cellIs" dxfId="130" priority="24" stopIfTrue="1" operator="greaterThanOrEqual">
      <formula>70</formula>
    </cfRule>
    <cfRule type="cellIs" dxfId="129" priority="25" stopIfTrue="1" operator="between">
      <formula>60</formula>
      <formula>69.999</formula>
    </cfRule>
    <cfRule type="cellIs" dxfId="128" priority="26" stopIfTrue="1" operator="between">
      <formula>50</formula>
      <formula>59.999</formula>
    </cfRule>
    <cfRule type="cellIs" dxfId="127" priority="27" stopIfTrue="1" operator="between">
      <formula>40</formula>
      <formula>49.999</formula>
    </cfRule>
    <cfRule type="cellIs" dxfId="126" priority="28" stopIfTrue="1" operator="lessThan">
      <formula>40</formula>
    </cfRule>
  </conditionalFormatting>
  <conditionalFormatting sqref="H18:H19">
    <cfRule type="expression" dxfId="125" priority="29" stopIfTrue="1">
      <formula>ISBLANK(H18)</formula>
    </cfRule>
    <cfRule type="cellIs" dxfId="124" priority="30" stopIfTrue="1" operator="equal">
      <formula>"No grades yet"</formula>
    </cfRule>
    <cfRule type="cellIs" dxfId="123" priority="31" stopIfTrue="1" operator="greaterThanOrEqual">
      <formula>70</formula>
    </cfRule>
    <cfRule type="cellIs" dxfId="122" priority="32" stopIfTrue="1" operator="between">
      <formula>60</formula>
      <formula>69.999</formula>
    </cfRule>
    <cfRule type="cellIs" dxfId="121" priority="33" stopIfTrue="1" operator="between">
      <formula>50</formula>
      <formula>59.999</formula>
    </cfRule>
    <cfRule type="cellIs" dxfId="120" priority="34" stopIfTrue="1" operator="between">
      <formula>40</formula>
      <formula>49.999</formula>
    </cfRule>
    <cfRule type="cellIs" dxfId="119" priority="35" stopIfTrue="1" operator="lessThan">
      <formula>40</formula>
    </cfRule>
  </conditionalFormatting>
  <conditionalFormatting sqref="K18:K19">
    <cfRule type="expression" dxfId="118" priority="36" stopIfTrue="1">
      <formula>ISBLANK(K18)</formula>
    </cfRule>
    <cfRule type="cellIs" dxfId="117" priority="37" stopIfTrue="1" operator="equal">
      <formula>"No grades yet"</formula>
    </cfRule>
    <cfRule type="cellIs" dxfId="116" priority="38" stopIfTrue="1" operator="greaterThanOrEqual">
      <formula>70</formula>
    </cfRule>
    <cfRule type="cellIs" dxfId="115" priority="39" stopIfTrue="1" operator="between">
      <formula>60</formula>
      <formula>69.999</formula>
    </cfRule>
    <cfRule type="cellIs" dxfId="114" priority="40" stopIfTrue="1" operator="between">
      <formula>50</formula>
      <formula>59.999</formula>
    </cfRule>
    <cfRule type="cellIs" dxfId="113" priority="41" stopIfTrue="1" operator="between">
      <formula>40</formula>
      <formula>49.999</formula>
    </cfRule>
    <cfRule type="cellIs" dxfId="112" priority="42" stopIfTrue="1" operator="lessThan">
      <formula>40</formula>
    </cfRule>
  </conditionalFormatting>
  <conditionalFormatting sqref="H20">
    <cfRule type="expression" dxfId="111" priority="43" stopIfTrue="1">
      <formula>ISBLANK(H20)</formula>
    </cfRule>
    <cfRule type="cellIs" dxfId="110" priority="44" stopIfTrue="1" operator="equal">
      <formula>"No grades yet"</formula>
    </cfRule>
    <cfRule type="cellIs" dxfId="109" priority="45" stopIfTrue="1" operator="greaterThanOrEqual">
      <formula>70</formula>
    </cfRule>
    <cfRule type="cellIs" dxfId="108" priority="46" stopIfTrue="1" operator="between">
      <formula>60</formula>
      <formula>69.999</formula>
    </cfRule>
    <cfRule type="cellIs" dxfId="107" priority="47" stopIfTrue="1" operator="between">
      <formula>50</formula>
      <formula>59.999</formula>
    </cfRule>
    <cfRule type="cellIs" dxfId="106" priority="48" stopIfTrue="1" operator="between">
      <formula>40</formula>
      <formula>49.999</formula>
    </cfRule>
    <cfRule type="cellIs" dxfId="105" priority="49" stopIfTrue="1" operator="lessThan">
      <formula>40</formula>
    </cfRule>
  </conditionalFormatting>
  <conditionalFormatting sqref="K20">
    <cfRule type="expression" dxfId="104" priority="50" stopIfTrue="1">
      <formula>ISBLANK(K20)</formula>
    </cfRule>
    <cfRule type="cellIs" dxfId="103" priority="51" stopIfTrue="1" operator="equal">
      <formula>"No grades yet"</formula>
    </cfRule>
    <cfRule type="cellIs" dxfId="102" priority="52" stopIfTrue="1" operator="greaterThanOrEqual">
      <formula>70</formula>
    </cfRule>
    <cfRule type="cellIs" dxfId="101" priority="53" stopIfTrue="1" operator="between">
      <formula>60</formula>
      <formula>69.999</formula>
    </cfRule>
    <cfRule type="cellIs" dxfId="100" priority="54" stopIfTrue="1" operator="between">
      <formula>50</formula>
      <formula>59.999</formula>
    </cfRule>
    <cfRule type="cellIs" dxfId="99" priority="55" stopIfTrue="1" operator="between">
      <formula>40</formula>
      <formula>49.999</formula>
    </cfRule>
    <cfRule type="cellIs" dxfId="98" priority="56" stopIfTrue="1" operator="lessThan">
      <formula>40</formula>
    </cfRule>
  </conditionalFormatting>
  <conditionalFormatting sqref="H21">
    <cfRule type="expression" dxfId="83" priority="71" stopIfTrue="1">
      <formula>ISBLANK(H21)</formula>
    </cfRule>
    <cfRule type="cellIs" dxfId="82" priority="72" stopIfTrue="1" operator="equal">
      <formula>"No grades yet"</formula>
    </cfRule>
    <cfRule type="cellIs" dxfId="81" priority="73" stopIfTrue="1" operator="greaterThanOrEqual">
      <formula>70</formula>
    </cfRule>
    <cfRule type="cellIs" dxfId="80" priority="74" stopIfTrue="1" operator="between">
      <formula>60</formula>
      <formula>69.999</formula>
    </cfRule>
    <cfRule type="cellIs" dxfId="79" priority="75" stopIfTrue="1" operator="between">
      <formula>50</formula>
      <formula>59.999</formula>
    </cfRule>
    <cfRule type="cellIs" dxfId="78" priority="76" stopIfTrue="1" operator="between">
      <formula>40</formula>
      <formula>49.999</formula>
    </cfRule>
    <cfRule type="cellIs" dxfId="77" priority="77" stopIfTrue="1" operator="lessThan">
      <formula>40</formula>
    </cfRule>
  </conditionalFormatting>
  <conditionalFormatting sqref="K21">
    <cfRule type="expression" dxfId="76" priority="78" stopIfTrue="1">
      <formula>ISBLANK(K21)</formula>
    </cfRule>
    <cfRule type="cellIs" dxfId="75" priority="79" stopIfTrue="1" operator="equal">
      <formula>"No grades yet"</formula>
    </cfRule>
    <cfRule type="cellIs" dxfId="74" priority="80" stopIfTrue="1" operator="greaterThanOrEqual">
      <formula>70</formula>
    </cfRule>
    <cfRule type="cellIs" dxfId="73" priority="81" stopIfTrue="1" operator="between">
      <formula>60</formula>
      <formula>69.999</formula>
    </cfRule>
    <cfRule type="cellIs" dxfId="72" priority="82" stopIfTrue="1" operator="between">
      <formula>50</formula>
      <formula>59.999</formula>
    </cfRule>
    <cfRule type="cellIs" dxfId="71" priority="83" stopIfTrue="1" operator="between">
      <formula>40</formula>
      <formula>49.999</formula>
    </cfRule>
    <cfRule type="cellIs" dxfId="70" priority="84" stopIfTrue="1" operator="lessThan">
      <formula>40</formula>
    </cfRule>
  </conditionalFormatting>
  <conditionalFormatting sqref="H7:H8">
    <cfRule type="expression" dxfId="69" priority="85" stopIfTrue="1">
      <formula>ISBLANK(H7)</formula>
    </cfRule>
    <cfRule type="cellIs" dxfId="68" priority="86" stopIfTrue="1" operator="equal">
      <formula>"No grades yet"</formula>
    </cfRule>
    <cfRule type="cellIs" dxfId="67" priority="87" stopIfTrue="1" operator="greaterThanOrEqual">
      <formula>70</formula>
    </cfRule>
    <cfRule type="cellIs" dxfId="66" priority="88" stopIfTrue="1" operator="between">
      <formula>60</formula>
      <formula>69.999</formula>
    </cfRule>
    <cfRule type="cellIs" dxfId="65" priority="89" stopIfTrue="1" operator="between">
      <formula>50</formula>
      <formula>59.999</formula>
    </cfRule>
    <cfRule type="cellIs" dxfId="64" priority="90" stopIfTrue="1" operator="between">
      <formula>40</formula>
      <formula>49.999</formula>
    </cfRule>
    <cfRule type="cellIs" dxfId="63" priority="91" stopIfTrue="1" operator="lessThan">
      <formula>40</formula>
    </cfRule>
  </conditionalFormatting>
  <conditionalFormatting sqref="K7:K8">
    <cfRule type="expression" dxfId="62" priority="92" stopIfTrue="1">
      <formula>ISBLANK(K7)</formula>
    </cfRule>
    <cfRule type="cellIs" dxfId="61" priority="93" stopIfTrue="1" operator="equal">
      <formula>"No grades yet"</formula>
    </cfRule>
    <cfRule type="cellIs" dxfId="60" priority="94" stopIfTrue="1" operator="greaterThanOrEqual">
      <formula>70</formula>
    </cfRule>
    <cfRule type="cellIs" dxfId="59" priority="95" stopIfTrue="1" operator="between">
      <formula>60</formula>
      <formula>69.999</formula>
    </cfRule>
    <cfRule type="cellIs" dxfId="58" priority="96" stopIfTrue="1" operator="between">
      <formula>50</formula>
      <formula>59.999</formula>
    </cfRule>
    <cfRule type="cellIs" dxfId="57" priority="97" stopIfTrue="1" operator="between">
      <formula>40</formula>
      <formula>49.999</formula>
    </cfRule>
    <cfRule type="cellIs" dxfId="56" priority="98" stopIfTrue="1" operator="lessThan">
      <formula>40</formula>
    </cfRule>
  </conditionalFormatting>
  <conditionalFormatting sqref="H9:H13">
    <cfRule type="expression" dxfId="55" priority="99" stopIfTrue="1">
      <formula>ISBLANK(H9)</formula>
    </cfRule>
    <cfRule type="cellIs" dxfId="54" priority="100" stopIfTrue="1" operator="equal">
      <formula>"No grades yet"</formula>
    </cfRule>
    <cfRule type="cellIs" dxfId="53" priority="101" stopIfTrue="1" operator="greaterThanOrEqual">
      <formula>70</formula>
    </cfRule>
    <cfRule type="cellIs" dxfId="52" priority="102" stopIfTrue="1" operator="between">
      <formula>60</formula>
      <formula>69.999</formula>
    </cfRule>
    <cfRule type="cellIs" dxfId="51" priority="103" stopIfTrue="1" operator="between">
      <formula>50</formula>
      <formula>59.999</formula>
    </cfRule>
    <cfRule type="cellIs" dxfId="50" priority="104" stopIfTrue="1" operator="between">
      <formula>40</formula>
      <formula>49.999</formula>
    </cfRule>
    <cfRule type="cellIs" dxfId="49" priority="105" stopIfTrue="1" operator="lessThan">
      <formula>40</formula>
    </cfRule>
  </conditionalFormatting>
  <conditionalFormatting sqref="K9:K13">
    <cfRule type="expression" dxfId="48" priority="106" stopIfTrue="1">
      <formula>ISBLANK(K9)</formula>
    </cfRule>
    <cfRule type="cellIs" dxfId="47" priority="107" stopIfTrue="1" operator="equal">
      <formula>"No grades yet"</formula>
    </cfRule>
    <cfRule type="cellIs" dxfId="46" priority="108" stopIfTrue="1" operator="greaterThanOrEqual">
      <formula>70</formula>
    </cfRule>
    <cfRule type="cellIs" dxfId="45" priority="109" stopIfTrue="1" operator="between">
      <formula>60</formula>
      <formula>69.999</formula>
    </cfRule>
    <cfRule type="cellIs" dxfId="44" priority="110" stopIfTrue="1" operator="between">
      <formula>50</formula>
      <formula>59.999</formula>
    </cfRule>
    <cfRule type="cellIs" dxfId="43" priority="111" stopIfTrue="1" operator="between">
      <formula>40</formula>
      <formula>49.999</formula>
    </cfRule>
    <cfRule type="cellIs" dxfId="42" priority="112" stopIfTrue="1" operator="lessThan">
      <formula>40</formula>
    </cfRule>
  </conditionalFormatting>
  <conditionalFormatting sqref="H14">
    <cfRule type="expression" dxfId="41" priority="113" stopIfTrue="1">
      <formula>ISBLANK(H14)</formula>
    </cfRule>
    <cfRule type="cellIs" dxfId="40" priority="114" stopIfTrue="1" operator="equal">
      <formula>"No grades yet"</formula>
    </cfRule>
    <cfRule type="cellIs" dxfId="39" priority="115" stopIfTrue="1" operator="greaterThanOrEqual">
      <formula>70</formula>
    </cfRule>
    <cfRule type="cellIs" dxfId="38" priority="116" stopIfTrue="1" operator="between">
      <formula>60</formula>
      <formula>69.999</formula>
    </cfRule>
    <cfRule type="cellIs" dxfId="37" priority="117" stopIfTrue="1" operator="between">
      <formula>50</formula>
      <formula>59.999</formula>
    </cfRule>
    <cfRule type="cellIs" dxfId="36" priority="118" stopIfTrue="1" operator="between">
      <formula>40</formula>
      <formula>49.999</formula>
    </cfRule>
    <cfRule type="cellIs" dxfId="35" priority="119" stopIfTrue="1" operator="lessThan">
      <formula>40</formula>
    </cfRule>
  </conditionalFormatting>
  <conditionalFormatting sqref="K14">
    <cfRule type="expression" dxfId="34" priority="120" stopIfTrue="1">
      <formula>ISBLANK(K14)</formula>
    </cfRule>
    <cfRule type="cellIs" dxfId="33" priority="121" stopIfTrue="1" operator="equal">
      <formula>"No grades yet"</formula>
    </cfRule>
    <cfRule type="cellIs" dxfId="32" priority="122" stopIfTrue="1" operator="greaterThanOrEqual">
      <formula>70</formula>
    </cfRule>
    <cfRule type="cellIs" dxfId="31" priority="123" stopIfTrue="1" operator="between">
      <formula>60</formula>
      <formula>69.999</formula>
    </cfRule>
    <cfRule type="cellIs" dxfId="30" priority="124" stopIfTrue="1" operator="between">
      <formula>50</formula>
      <formula>59.999</formula>
    </cfRule>
    <cfRule type="cellIs" dxfId="29" priority="125" stopIfTrue="1" operator="between">
      <formula>40</formula>
      <formula>49.999</formula>
    </cfRule>
    <cfRule type="cellIs" dxfId="28" priority="126" stopIfTrue="1" operator="lessThan">
      <formula>40</formula>
    </cfRule>
  </conditionalFormatting>
  <conditionalFormatting sqref="H15">
    <cfRule type="expression" dxfId="27" priority="127" stopIfTrue="1">
      <formula>ISBLANK(H15)</formula>
    </cfRule>
    <cfRule type="cellIs" dxfId="26" priority="128" stopIfTrue="1" operator="equal">
      <formula>"No grades yet"</formula>
    </cfRule>
    <cfRule type="cellIs" dxfId="25" priority="129" stopIfTrue="1" operator="greaterThanOrEqual">
      <formula>70</formula>
    </cfRule>
    <cfRule type="cellIs" dxfId="24" priority="130" stopIfTrue="1" operator="between">
      <formula>60</formula>
      <formula>69.999</formula>
    </cfRule>
    <cfRule type="cellIs" dxfId="23" priority="131" stopIfTrue="1" operator="between">
      <formula>50</formula>
      <formula>59.999</formula>
    </cfRule>
    <cfRule type="cellIs" dxfId="22" priority="132" stopIfTrue="1" operator="between">
      <formula>40</formula>
      <formula>49.999</formula>
    </cfRule>
    <cfRule type="cellIs" dxfId="21" priority="133" stopIfTrue="1" operator="lessThan">
      <formula>40</formula>
    </cfRule>
  </conditionalFormatting>
  <conditionalFormatting sqref="K15">
    <cfRule type="expression" dxfId="20" priority="134" stopIfTrue="1">
      <formula>ISBLANK(K15)</formula>
    </cfRule>
    <cfRule type="cellIs" dxfId="19" priority="135" stopIfTrue="1" operator="equal">
      <formula>"No grades yet"</formula>
    </cfRule>
    <cfRule type="cellIs" dxfId="18" priority="136" stopIfTrue="1" operator="greaterThanOrEqual">
      <formula>70</formula>
    </cfRule>
    <cfRule type="cellIs" dxfId="17" priority="137" stopIfTrue="1" operator="between">
      <formula>60</formula>
      <formula>69.999</formula>
    </cfRule>
    <cfRule type="cellIs" dxfId="16" priority="138" stopIfTrue="1" operator="between">
      <formula>50</formula>
      <formula>59.999</formula>
    </cfRule>
    <cfRule type="cellIs" dxfId="15" priority="139" stopIfTrue="1" operator="between">
      <formula>40</formula>
      <formula>49.999</formula>
    </cfRule>
    <cfRule type="cellIs" dxfId="14" priority="140" stopIfTrue="1" operator="lessThan">
      <formula>40</formula>
    </cfRule>
  </conditionalFormatting>
  <conditionalFormatting sqref="H16:H17">
    <cfRule type="expression" dxfId="13" priority="141" stopIfTrue="1">
      <formula>ISBLANK(H16)</formula>
    </cfRule>
    <cfRule type="cellIs" dxfId="12" priority="142" stopIfTrue="1" operator="equal">
      <formula>"No grades yet"</formula>
    </cfRule>
    <cfRule type="cellIs" dxfId="11" priority="143" stopIfTrue="1" operator="greaterThanOrEqual">
      <formula>70</formula>
    </cfRule>
    <cfRule type="cellIs" dxfId="10" priority="144" stopIfTrue="1" operator="between">
      <formula>60</formula>
      <formula>69.999</formula>
    </cfRule>
    <cfRule type="cellIs" dxfId="9" priority="145" stopIfTrue="1" operator="between">
      <formula>50</formula>
      <formula>59.999</formula>
    </cfRule>
    <cfRule type="cellIs" dxfId="8" priority="146" stopIfTrue="1" operator="between">
      <formula>40</formula>
      <formula>49.999</formula>
    </cfRule>
    <cfRule type="cellIs" dxfId="7" priority="147" stopIfTrue="1" operator="lessThan">
      <formula>40</formula>
    </cfRule>
  </conditionalFormatting>
  <conditionalFormatting sqref="K16:K17">
    <cfRule type="expression" dxfId="6" priority="148" stopIfTrue="1">
      <formula>ISBLANK(K16)</formula>
    </cfRule>
    <cfRule type="cellIs" dxfId="5" priority="149" stopIfTrue="1" operator="equal">
      <formula>"No grades yet"</formula>
    </cfRule>
    <cfRule type="cellIs" dxfId="4" priority="150" stopIfTrue="1" operator="greaterThanOrEqual">
      <formula>70</formula>
    </cfRule>
    <cfRule type="cellIs" dxfId="3" priority="151" stopIfTrue="1" operator="between">
      <formula>60</formula>
      <formula>69.999</formula>
    </cfRule>
    <cfRule type="cellIs" dxfId="2" priority="152" stopIfTrue="1" operator="between">
      <formula>50</formula>
      <formula>59.999</formula>
    </cfRule>
    <cfRule type="cellIs" dxfId="1" priority="153" stopIfTrue="1" operator="between">
      <formula>40</formula>
      <formula>49.999</formula>
    </cfRule>
    <cfRule type="cellIs" dxfId="0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F16" sqref="F16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2024-11-01T14:48:55Z</dcterms:modified>
</cp:coreProperties>
</file>