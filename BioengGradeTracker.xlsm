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tal\OneDrive\Desktop\Grade Tracker Project\GradeTracker\"/>
    </mc:Choice>
  </mc:AlternateContent>
  <xr:revisionPtr revIDLastSave="0" documentId="13_ncr:1_{CAE00FB8-00D2-41CD-A5BE-4DF06CCBCE88}" xr6:coauthVersionLast="47" xr6:coauthVersionMax="47" xr10:uidLastSave="{00000000-0000-0000-0000-000000000000}"/>
  <bookViews>
    <workbookView xWindow="-108" yWindow="-108" windowWidth="23256" windowHeight="13896" tabRatio="603" activeTab="5" xr2:uid="{00000000-000D-0000-FFFF-FFFF00000000}"/>
  </bookViews>
  <sheets>
    <sheet name="Y1 MBE" sheetId="6" r:id="rId1"/>
    <sheet name="Y2 MBE" sheetId="1" r:id="rId2"/>
    <sheet name="Y3 MBE" sheetId="3" r:id="rId3"/>
    <sheet name="Y4 MBE" sheetId="10" r:id="rId4"/>
    <sheet name="Y1 BME" sheetId="7" r:id="rId5"/>
    <sheet name="Y2 BME" sheetId="2" r:id="rId6"/>
    <sheet name="Y3 BME" sheetId="4" r:id="rId7"/>
    <sheet name="Y4 BME" sheetId="9" r:id="rId8"/>
    <sheet name="Y1 BTV" sheetId="11" r:id="rId9"/>
    <sheet name="Y2 BTV" sheetId="12" r:id="rId10"/>
    <sheet name="Totals" sheetId="8" r:id="rId11"/>
  </sheets>
  <functionGroups builtInGroupCount="19"/>
  <definedNames>
    <definedName name="_xlnm._FilterDatabase" localSheetId="2" hidden="1">'Y3 MBE'!$A$20:$N$46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" i="2" l="1"/>
  <c r="D22" i="2"/>
  <c r="D20" i="2"/>
  <c r="D17" i="2"/>
  <c r="D12" i="2"/>
  <c r="D9" i="2"/>
  <c r="D5" i="2"/>
  <c r="D2" i="2"/>
  <c r="P24" i="2"/>
  <c r="O24" i="2"/>
  <c r="N24" i="2"/>
  <c r="M24" i="2"/>
  <c r="L24" i="2"/>
  <c r="K24" i="2"/>
  <c r="J24" i="2"/>
  <c r="P22" i="2"/>
  <c r="O22" i="2"/>
  <c r="N22" i="2"/>
  <c r="M22" i="2"/>
  <c r="L22" i="2"/>
  <c r="K22" i="2"/>
  <c r="J22" i="2"/>
  <c r="P20" i="2"/>
  <c r="O20" i="2"/>
  <c r="N20" i="2"/>
  <c r="M20" i="2"/>
  <c r="L20" i="2"/>
  <c r="K20" i="2"/>
  <c r="J20" i="2"/>
  <c r="P17" i="2"/>
  <c r="O17" i="2"/>
  <c r="N17" i="2"/>
  <c r="M17" i="2"/>
  <c r="L17" i="2"/>
  <c r="K17" i="2"/>
  <c r="J17" i="2"/>
  <c r="P12" i="2"/>
  <c r="O12" i="2"/>
  <c r="N12" i="2"/>
  <c r="M12" i="2"/>
  <c r="L12" i="2"/>
  <c r="K12" i="2"/>
  <c r="J12" i="2"/>
  <c r="P9" i="2"/>
  <c r="O9" i="2"/>
  <c r="N9" i="2"/>
  <c r="M9" i="2"/>
  <c r="L9" i="2"/>
  <c r="K9" i="2"/>
  <c r="J9" i="2"/>
  <c r="P5" i="2"/>
  <c r="O5" i="2"/>
  <c r="N5" i="2"/>
  <c r="M5" i="2"/>
  <c r="L5" i="2"/>
  <c r="K5" i="2"/>
  <c r="J5" i="2"/>
  <c r="P2" i="2"/>
  <c r="O2" i="2"/>
  <c r="N2" i="2"/>
  <c r="M2" i="2"/>
  <c r="L2" i="2"/>
  <c r="K2" i="2"/>
  <c r="J2" i="2"/>
  <c r="D22" i="7"/>
  <c r="D16" i="7"/>
  <c r="D13" i="7"/>
  <c r="D9" i="7"/>
  <c r="D5" i="7"/>
  <c r="D2" i="7"/>
  <c r="P22" i="7"/>
  <c r="O22" i="7"/>
  <c r="N22" i="7"/>
  <c r="M22" i="7"/>
  <c r="L22" i="7"/>
  <c r="K22" i="7"/>
  <c r="J22" i="7"/>
  <c r="P16" i="7"/>
  <c r="O16" i="7"/>
  <c r="N16" i="7"/>
  <c r="M16" i="7"/>
  <c r="L16" i="7"/>
  <c r="K16" i="7"/>
  <c r="J16" i="7"/>
  <c r="P13" i="7"/>
  <c r="O13" i="7"/>
  <c r="N13" i="7"/>
  <c r="M13" i="7"/>
  <c r="L13" i="7"/>
  <c r="K13" i="7"/>
  <c r="J13" i="7"/>
  <c r="P9" i="7"/>
  <c r="O9" i="7"/>
  <c r="N9" i="7"/>
  <c r="M9" i="7"/>
  <c r="L9" i="7"/>
  <c r="K9" i="7"/>
  <c r="J9" i="7"/>
  <c r="P5" i="7"/>
  <c r="O5" i="7"/>
  <c r="N5" i="7"/>
  <c r="M5" i="7"/>
  <c r="L5" i="7"/>
  <c r="K5" i="7"/>
  <c r="J5" i="7"/>
  <c r="P2" i="7"/>
  <c r="O2" i="7"/>
  <c r="N2" i="7"/>
  <c r="M2" i="7"/>
  <c r="L2" i="7"/>
  <c r="K2" i="7"/>
  <c r="J2" i="7"/>
  <c r="P54" i="10"/>
  <c r="O54" i="10"/>
  <c r="N54" i="10"/>
  <c r="M54" i="10"/>
  <c r="L54" i="10"/>
  <c r="K54" i="10"/>
  <c r="J54" i="10"/>
  <c r="P53" i="10"/>
  <c r="O53" i="10"/>
  <c r="N53" i="10"/>
  <c r="M53" i="10"/>
  <c r="L53" i="10"/>
  <c r="K53" i="10"/>
  <c r="J53" i="10"/>
  <c r="P52" i="10"/>
  <c r="O52" i="10"/>
  <c r="N52" i="10"/>
  <c r="M52" i="10"/>
  <c r="L52" i="10"/>
  <c r="K52" i="10"/>
  <c r="J52" i="10"/>
  <c r="P51" i="10"/>
  <c r="O51" i="10"/>
  <c r="N51" i="10"/>
  <c r="M51" i="10"/>
  <c r="L51" i="10"/>
  <c r="K51" i="10"/>
  <c r="J51" i="10"/>
  <c r="P50" i="10"/>
  <c r="O50" i="10"/>
  <c r="N50" i="10"/>
  <c r="M50" i="10"/>
  <c r="L50" i="10"/>
  <c r="K50" i="10"/>
  <c r="J50" i="10"/>
  <c r="P49" i="10"/>
  <c r="O49" i="10"/>
  <c r="N49" i="10"/>
  <c r="M49" i="10"/>
  <c r="L49" i="10"/>
  <c r="K49" i="10"/>
  <c r="J49" i="10"/>
  <c r="P48" i="10"/>
  <c r="O48" i="10"/>
  <c r="N48" i="10"/>
  <c r="M48" i="10"/>
  <c r="L48" i="10"/>
  <c r="K48" i="10"/>
  <c r="J48" i="10"/>
  <c r="P45" i="10"/>
  <c r="O45" i="10"/>
  <c r="N45" i="10"/>
  <c r="M45" i="10"/>
  <c r="L45" i="10"/>
  <c r="K45" i="10"/>
  <c r="J45" i="10"/>
  <c r="P44" i="10"/>
  <c r="O44" i="10"/>
  <c r="N44" i="10"/>
  <c r="M44" i="10"/>
  <c r="L44" i="10"/>
  <c r="K44" i="10"/>
  <c r="J44" i="10"/>
  <c r="P40" i="10"/>
  <c r="O40" i="10"/>
  <c r="N40" i="10"/>
  <c r="M40" i="10"/>
  <c r="L40" i="10"/>
  <c r="K40" i="10"/>
  <c r="J40" i="10"/>
  <c r="P38" i="10"/>
  <c r="O38" i="10"/>
  <c r="N38" i="10"/>
  <c r="M38" i="10"/>
  <c r="L38" i="10"/>
  <c r="K38" i="10"/>
  <c r="J38" i="10"/>
  <c r="P36" i="10"/>
  <c r="O36" i="10"/>
  <c r="N36" i="10"/>
  <c r="M36" i="10"/>
  <c r="L36" i="10"/>
  <c r="K36" i="10"/>
  <c r="J36" i="10"/>
  <c r="P34" i="10"/>
  <c r="O34" i="10"/>
  <c r="N34" i="10"/>
  <c r="M34" i="10"/>
  <c r="L34" i="10"/>
  <c r="K34" i="10"/>
  <c r="J34" i="10"/>
  <c r="P33" i="10"/>
  <c r="O33" i="10"/>
  <c r="N33" i="10"/>
  <c r="M33" i="10"/>
  <c r="L33" i="10"/>
  <c r="K33" i="10"/>
  <c r="J33" i="10"/>
  <c r="P31" i="10"/>
  <c r="O31" i="10"/>
  <c r="N31" i="10"/>
  <c r="M31" i="10"/>
  <c r="L31" i="10"/>
  <c r="K31" i="10"/>
  <c r="J31" i="10"/>
  <c r="P29" i="10"/>
  <c r="O29" i="10"/>
  <c r="N29" i="10"/>
  <c r="M29" i="10"/>
  <c r="L29" i="10"/>
  <c r="K29" i="10"/>
  <c r="J29" i="10"/>
  <c r="P27" i="10"/>
  <c r="O27" i="10"/>
  <c r="N27" i="10"/>
  <c r="M27" i="10"/>
  <c r="L27" i="10"/>
  <c r="K27" i="10"/>
  <c r="J27" i="10"/>
  <c r="P25" i="10"/>
  <c r="O25" i="10"/>
  <c r="N25" i="10"/>
  <c r="M25" i="10"/>
  <c r="L25" i="10"/>
  <c r="K25" i="10"/>
  <c r="J25" i="10"/>
  <c r="P24" i="10"/>
  <c r="O24" i="10"/>
  <c r="N24" i="10"/>
  <c r="M24" i="10"/>
  <c r="L24" i="10"/>
  <c r="K24" i="10"/>
  <c r="J24" i="10"/>
  <c r="P23" i="10"/>
  <c r="O23" i="10"/>
  <c r="N23" i="10"/>
  <c r="M23" i="10"/>
  <c r="L23" i="10"/>
  <c r="K23" i="10"/>
  <c r="J23" i="10"/>
  <c r="P22" i="10"/>
  <c r="O22" i="10"/>
  <c r="N22" i="10"/>
  <c r="M22" i="10"/>
  <c r="L22" i="10"/>
  <c r="K22" i="10"/>
  <c r="J22" i="10"/>
  <c r="P18" i="10"/>
  <c r="O18" i="10"/>
  <c r="N18" i="10"/>
  <c r="M18" i="10"/>
  <c r="L18" i="10"/>
  <c r="K18" i="10"/>
  <c r="J18" i="10"/>
  <c r="P10" i="10"/>
  <c r="O10" i="10"/>
  <c r="N10" i="10"/>
  <c r="M10" i="10"/>
  <c r="L10" i="10"/>
  <c r="K10" i="10"/>
  <c r="J10" i="10"/>
  <c r="P9" i="10"/>
  <c r="O9" i="10"/>
  <c r="N9" i="10"/>
  <c r="M9" i="10"/>
  <c r="L9" i="10"/>
  <c r="K9" i="10"/>
  <c r="J9" i="10"/>
  <c r="P46" i="3"/>
  <c r="O46" i="3"/>
  <c r="N46" i="3"/>
  <c r="M46" i="3"/>
  <c r="L46" i="3"/>
  <c r="K46" i="3"/>
  <c r="J46" i="3"/>
  <c r="P45" i="3"/>
  <c r="O45" i="3"/>
  <c r="N45" i="3"/>
  <c r="M45" i="3"/>
  <c r="L45" i="3"/>
  <c r="K45" i="3"/>
  <c r="J45" i="3"/>
  <c r="P44" i="3"/>
  <c r="O44" i="3"/>
  <c r="N44" i="3"/>
  <c r="M44" i="3"/>
  <c r="L44" i="3"/>
  <c r="K44" i="3"/>
  <c r="J44" i="3"/>
  <c r="P42" i="3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37" i="3"/>
  <c r="O37" i="3"/>
  <c r="N37" i="3"/>
  <c r="M37" i="3"/>
  <c r="L37" i="3"/>
  <c r="K37" i="3"/>
  <c r="J37" i="3"/>
  <c r="P35" i="3"/>
  <c r="O35" i="3"/>
  <c r="N35" i="3"/>
  <c r="M35" i="3"/>
  <c r="L35" i="3"/>
  <c r="K35" i="3"/>
  <c r="J35" i="3"/>
  <c r="P33" i="3"/>
  <c r="O33" i="3"/>
  <c r="N33" i="3"/>
  <c r="M33" i="3"/>
  <c r="L33" i="3"/>
  <c r="K33" i="3"/>
  <c r="J33" i="3"/>
  <c r="P32" i="3"/>
  <c r="O32" i="3"/>
  <c r="N32" i="3"/>
  <c r="M32" i="3"/>
  <c r="L32" i="3"/>
  <c r="K32" i="3"/>
  <c r="J32" i="3"/>
  <c r="P30" i="3"/>
  <c r="O30" i="3"/>
  <c r="N30" i="3"/>
  <c r="M30" i="3"/>
  <c r="L30" i="3"/>
  <c r="K30" i="3"/>
  <c r="J30" i="3"/>
  <c r="P27" i="3"/>
  <c r="O27" i="3"/>
  <c r="N27" i="3"/>
  <c r="M27" i="3"/>
  <c r="L27" i="3"/>
  <c r="K27" i="3"/>
  <c r="J27" i="3"/>
  <c r="P25" i="3"/>
  <c r="O25" i="3"/>
  <c r="N25" i="3"/>
  <c r="M25" i="3"/>
  <c r="L25" i="3"/>
  <c r="K25" i="3"/>
  <c r="J25" i="3"/>
  <c r="P21" i="3"/>
  <c r="O21" i="3"/>
  <c r="N21" i="3"/>
  <c r="M21" i="3"/>
  <c r="L21" i="3"/>
  <c r="K21" i="3"/>
  <c r="J21" i="3"/>
  <c r="P17" i="3"/>
  <c r="O17" i="3"/>
  <c r="N17" i="3"/>
  <c r="M17" i="3"/>
  <c r="L17" i="3"/>
  <c r="K17" i="3"/>
  <c r="J17" i="3"/>
  <c r="P15" i="3"/>
  <c r="O15" i="3"/>
  <c r="N15" i="3"/>
  <c r="M15" i="3"/>
  <c r="L15" i="3"/>
  <c r="K15" i="3"/>
  <c r="J15" i="3"/>
  <c r="P12" i="3"/>
  <c r="O12" i="3"/>
  <c r="N12" i="3"/>
  <c r="M12" i="3"/>
  <c r="L12" i="3"/>
  <c r="K12" i="3"/>
  <c r="J12" i="3"/>
  <c r="P10" i="3"/>
  <c r="O10" i="3"/>
  <c r="N10" i="3"/>
  <c r="M10" i="3"/>
  <c r="L10" i="3"/>
  <c r="K10" i="3"/>
  <c r="J10" i="3"/>
  <c r="P8" i="3"/>
  <c r="O8" i="3"/>
  <c r="N8" i="3"/>
  <c r="M8" i="3"/>
  <c r="L8" i="3"/>
  <c r="K8" i="3"/>
  <c r="J8" i="3"/>
  <c r="P3" i="3"/>
  <c r="O3" i="3"/>
  <c r="N3" i="3"/>
  <c r="M3" i="3"/>
  <c r="L3" i="3"/>
  <c r="K3" i="3"/>
  <c r="J3" i="3"/>
  <c r="P101" i="9"/>
  <c r="O101" i="9"/>
  <c r="N101" i="9"/>
  <c r="M101" i="9"/>
  <c r="L101" i="9"/>
  <c r="K101" i="9"/>
  <c r="J101" i="9"/>
  <c r="P100" i="9"/>
  <c r="O100" i="9"/>
  <c r="N100" i="9"/>
  <c r="M100" i="9"/>
  <c r="L100" i="9"/>
  <c r="K100" i="9"/>
  <c r="J100" i="9"/>
  <c r="P99" i="9"/>
  <c r="O99" i="9"/>
  <c r="N99" i="9"/>
  <c r="M99" i="9"/>
  <c r="L99" i="9"/>
  <c r="K99" i="9"/>
  <c r="J99" i="9"/>
  <c r="P98" i="9"/>
  <c r="O98" i="9"/>
  <c r="N98" i="9"/>
  <c r="M98" i="9"/>
  <c r="L98" i="9"/>
  <c r="K98" i="9"/>
  <c r="J98" i="9"/>
  <c r="P97" i="9"/>
  <c r="O97" i="9"/>
  <c r="N97" i="9"/>
  <c r="M97" i="9"/>
  <c r="L97" i="9"/>
  <c r="K97" i="9"/>
  <c r="J97" i="9"/>
  <c r="P96" i="9"/>
  <c r="O96" i="9"/>
  <c r="N96" i="9"/>
  <c r="M96" i="9"/>
  <c r="L96" i="9"/>
  <c r="K96" i="9"/>
  <c r="J96" i="9"/>
  <c r="P95" i="9"/>
  <c r="O95" i="9"/>
  <c r="N95" i="9"/>
  <c r="M95" i="9"/>
  <c r="L95" i="9"/>
  <c r="K95" i="9"/>
  <c r="J95" i="9"/>
  <c r="P94" i="9"/>
  <c r="O94" i="9"/>
  <c r="N94" i="9"/>
  <c r="M94" i="9"/>
  <c r="L94" i="9"/>
  <c r="K94" i="9"/>
  <c r="J94" i="9"/>
  <c r="P91" i="9"/>
  <c r="O91" i="9"/>
  <c r="N91" i="9"/>
  <c r="M91" i="9"/>
  <c r="L91" i="9"/>
  <c r="K91" i="9"/>
  <c r="J91" i="9"/>
  <c r="P90" i="9"/>
  <c r="O90" i="9"/>
  <c r="N90" i="9"/>
  <c r="M90" i="9"/>
  <c r="L90" i="9"/>
  <c r="K90" i="9"/>
  <c r="J90" i="9"/>
  <c r="P86" i="9"/>
  <c r="O86" i="9"/>
  <c r="N86" i="9"/>
  <c r="M86" i="9"/>
  <c r="L86" i="9"/>
  <c r="K86" i="9"/>
  <c r="J86" i="9"/>
  <c r="P85" i="9"/>
  <c r="O85" i="9"/>
  <c r="N85" i="9"/>
  <c r="M85" i="9"/>
  <c r="L85" i="9"/>
  <c r="K85" i="9"/>
  <c r="J85" i="9"/>
  <c r="P84" i="9"/>
  <c r="O84" i="9"/>
  <c r="N84" i="9"/>
  <c r="M84" i="9"/>
  <c r="L84" i="9"/>
  <c r="K84" i="9"/>
  <c r="J84" i="9"/>
  <c r="P83" i="9"/>
  <c r="O83" i="9"/>
  <c r="N83" i="9"/>
  <c r="M83" i="9"/>
  <c r="L83" i="9"/>
  <c r="K83" i="9"/>
  <c r="J83" i="9"/>
  <c r="P82" i="9"/>
  <c r="O82" i="9"/>
  <c r="N82" i="9"/>
  <c r="M82" i="9"/>
  <c r="L82" i="9"/>
  <c r="K82" i="9"/>
  <c r="J82" i="9"/>
  <c r="P81" i="9"/>
  <c r="O81" i="9"/>
  <c r="N81" i="9"/>
  <c r="M81" i="9"/>
  <c r="L81" i="9"/>
  <c r="K81" i="9"/>
  <c r="J81" i="9"/>
  <c r="P80" i="9"/>
  <c r="O80" i="9"/>
  <c r="N80" i="9"/>
  <c r="M80" i="9"/>
  <c r="L80" i="9"/>
  <c r="K80" i="9"/>
  <c r="J80" i="9"/>
  <c r="P79" i="9"/>
  <c r="O79" i="9"/>
  <c r="N79" i="9"/>
  <c r="M79" i="9"/>
  <c r="L79" i="9"/>
  <c r="K79" i="9"/>
  <c r="J79" i="9"/>
  <c r="P78" i="9"/>
  <c r="O78" i="9"/>
  <c r="N78" i="9"/>
  <c r="M78" i="9"/>
  <c r="L78" i="9"/>
  <c r="K78" i="9"/>
  <c r="J78" i="9"/>
  <c r="P77" i="9"/>
  <c r="O77" i="9"/>
  <c r="N77" i="9"/>
  <c r="M77" i="9"/>
  <c r="L77" i="9"/>
  <c r="K77" i="9"/>
  <c r="J77" i="9"/>
  <c r="P76" i="9"/>
  <c r="O76" i="9"/>
  <c r="N76" i="9"/>
  <c r="M76" i="9"/>
  <c r="L76" i="9"/>
  <c r="K76" i="9"/>
  <c r="J76" i="9"/>
  <c r="P75" i="9"/>
  <c r="O75" i="9"/>
  <c r="N75" i="9"/>
  <c r="M75" i="9"/>
  <c r="L75" i="9"/>
  <c r="K75" i="9"/>
  <c r="J75" i="9"/>
  <c r="P74" i="9"/>
  <c r="O74" i="9"/>
  <c r="N74" i="9"/>
  <c r="M74" i="9"/>
  <c r="L74" i="9"/>
  <c r="K74" i="9"/>
  <c r="J74" i="9"/>
  <c r="P73" i="9"/>
  <c r="O73" i="9"/>
  <c r="N73" i="9"/>
  <c r="M73" i="9"/>
  <c r="L73" i="9"/>
  <c r="K73" i="9"/>
  <c r="J73" i="9"/>
  <c r="P72" i="9"/>
  <c r="O72" i="9"/>
  <c r="N72" i="9"/>
  <c r="M72" i="9"/>
  <c r="L72" i="9"/>
  <c r="K72" i="9"/>
  <c r="J72" i="9"/>
  <c r="P70" i="9"/>
  <c r="O70" i="9"/>
  <c r="N70" i="9"/>
  <c r="M70" i="9"/>
  <c r="L70" i="9"/>
  <c r="K70" i="9"/>
  <c r="J70" i="9"/>
  <c r="P68" i="9"/>
  <c r="O68" i="9"/>
  <c r="N68" i="9"/>
  <c r="M68" i="9"/>
  <c r="L68" i="9"/>
  <c r="K68" i="9"/>
  <c r="J68" i="9"/>
  <c r="P66" i="9"/>
  <c r="O66" i="9"/>
  <c r="N66" i="9"/>
  <c r="M66" i="9"/>
  <c r="L66" i="9"/>
  <c r="K66" i="9"/>
  <c r="J66" i="9"/>
  <c r="P62" i="9"/>
  <c r="O62" i="9"/>
  <c r="N62" i="9"/>
  <c r="M62" i="9"/>
  <c r="L62" i="9"/>
  <c r="K62" i="9"/>
  <c r="J62" i="9"/>
  <c r="P60" i="9"/>
  <c r="O60" i="9"/>
  <c r="N60" i="9"/>
  <c r="M60" i="9"/>
  <c r="L60" i="9"/>
  <c r="K60" i="9"/>
  <c r="J60" i="9"/>
  <c r="P59" i="9"/>
  <c r="O59" i="9"/>
  <c r="N59" i="9"/>
  <c r="M59" i="9"/>
  <c r="L59" i="9"/>
  <c r="K59" i="9"/>
  <c r="J59" i="9"/>
  <c r="P57" i="9"/>
  <c r="O57" i="9"/>
  <c r="N57" i="9"/>
  <c r="M57" i="9"/>
  <c r="L57" i="9"/>
  <c r="K57" i="9"/>
  <c r="J57" i="9"/>
  <c r="P56" i="9"/>
  <c r="O56" i="9"/>
  <c r="N56" i="9"/>
  <c r="M56" i="9"/>
  <c r="L56" i="9"/>
  <c r="K56" i="9"/>
  <c r="J56" i="9"/>
  <c r="P54" i="9"/>
  <c r="O54" i="9"/>
  <c r="N54" i="9"/>
  <c r="M54" i="9"/>
  <c r="L54" i="9"/>
  <c r="K54" i="9"/>
  <c r="J54" i="9"/>
  <c r="P50" i="9"/>
  <c r="O50" i="9"/>
  <c r="N50" i="9"/>
  <c r="M50" i="9"/>
  <c r="L50" i="9"/>
  <c r="K50" i="9"/>
  <c r="J50" i="9"/>
  <c r="P47" i="9"/>
  <c r="O47" i="9"/>
  <c r="N47" i="9"/>
  <c r="M47" i="9"/>
  <c r="L47" i="9"/>
  <c r="K47" i="9"/>
  <c r="J47" i="9"/>
  <c r="P41" i="9"/>
  <c r="O41" i="9"/>
  <c r="N41" i="9"/>
  <c r="M41" i="9"/>
  <c r="L41" i="9"/>
  <c r="K41" i="9"/>
  <c r="J41" i="9"/>
  <c r="P40" i="9"/>
  <c r="O40" i="9"/>
  <c r="N40" i="9"/>
  <c r="M40" i="9"/>
  <c r="L40" i="9"/>
  <c r="K40" i="9"/>
  <c r="J40" i="9"/>
  <c r="P38" i="9"/>
  <c r="O38" i="9"/>
  <c r="N38" i="9"/>
  <c r="M38" i="9"/>
  <c r="L38" i="9"/>
  <c r="K38" i="9"/>
  <c r="J38" i="9"/>
  <c r="P36" i="9"/>
  <c r="O36" i="9"/>
  <c r="N36" i="9"/>
  <c r="M36" i="9"/>
  <c r="L36" i="9"/>
  <c r="K36" i="9"/>
  <c r="J36" i="9"/>
  <c r="P35" i="9"/>
  <c r="O35" i="9"/>
  <c r="N35" i="9"/>
  <c r="M35" i="9"/>
  <c r="L35" i="9"/>
  <c r="K35" i="9"/>
  <c r="J35" i="9"/>
  <c r="P34" i="9"/>
  <c r="O34" i="9"/>
  <c r="N34" i="9"/>
  <c r="M34" i="9"/>
  <c r="L34" i="9"/>
  <c r="K34" i="9"/>
  <c r="J34" i="9"/>
  <c r="P30" i="9"/>
  <c r="O30" i="9"/>
  <c r="N30" i="9"/>
  <c r="M30" i="9"/>
  <c r="L30" i="9"/>
  <c r="K30" i="9"/>
  <c r="J30" i="9"/>
  <c r="P22" i="9"/>
  <c r="O22" i="9"/>
  <c r="N22" i="9"/>
  <c r="M22" i="9"/>
  <c r="L22" i="9"/>
  <c r="K22" i="9"/>
  <c r="J22" i="9"/>
  <c r="P19" i="9"/>
  <c r="O19" i="9"/>
  <c r="N19" i="9"/>
  <c r="M19" i="9"/>
  <c r="L19" i="9"/>
  <c r="K19" i="9"/>
  <c r="J19" i="9"/>
  <c r="P18" i="9"/>
  <c r="O18" i="9"/>
  <c r="N18" i="9"/>
  <c r="M18" i="9"/>
  <c r="L18" i="9"/>
  <c r="K18" i="9"/>
  <c r="J18" i="9"/>
  <c r="P15" i="9"/>
  <c r="O15" i="9"/>
  <c r="N15" i="9"/>
  <c r="M15" i="9"/>
  <c r="L15" i="9"/>
  <c r="K15" i="9"/>
  <c r="J15" i="9"/>
  <c r="P13" i="9"/>
  <c r="O13" i="9"/>
  <c r="N13" i="9"/>
  <c r="M13" i="9"/>
  <c r="L13" i="9"/>
  <c r="K13" i="9"/>
  <c r="J13" i="9"/>
  <c r="P9" i="9"/>
  <c r="O9" i="9"/>
  <c r="N9" i="9"/>
  <c r="M9" i="9"/>
  <c r="L9" i="9"/>
  <c r="K9" i="9"/>
  <c r="J9" i="9"/>
  <c r="P3" i="9"/>
  <c r="O3" i="9"/>
  <c r="N3" i="9"/>
  <c r="M3" i="9"/>
  <c r="L3" i="9"/>
  <c r="K3" i="9"/>
  <c r="J3" i="9"/>
  <c r="P94" i="4"/>
  <c r="O94" i="4"/>
  <c r="N94" i="4"/>
  <c r="M94" i="4"/>
  <c r="L94" i="4"/>
  <c r="K94" i="4"/>
  <c r="J94" i="4"/>
  <c r="P93" i="4"/>
  <c r="O93" i="4"/>
  <c r="N93" i="4"/>
  <c r="M93" i="4"/>
  <c r="L93" i="4"/>
  <c r="K93" i="4"/>
  <c r="J93" i="4"/>
  <c r="P92" i="4"/>
  <c r="O92" i="4"/>
  <c r="N92" i="4"/>
  <c r="M92" i="4"/>
  <c r="L92" i="4"/>
  <c r="K92" i="4"/>
  <c r="J92" i="4"/>
  <c r="P91" i="4"/>
  <c r="O91" i="4"/>
  <c r="N91" i="4"/>
  <c r="M91" i="4"/>
  <c r="L91" i="4"/>
  <c r="K91" i="4"/>
  <c r="J91" i="4"/>
  <c r="P90" i="4"/>
  <c r="O90" i="4"/>
  <c r="N90" i="4"/>
  <c r="M90" i="4"/>
  <c r="L90" i="4"/>
  <c r="K90" i="4"/>
  <c r="J90" i="4"/>
  <c r="P89" i="4"/>
  <c r="O89" i="4"/>
  <c r="N89" i="4"/>
  <c r="M89" i="4"/>
  <c r="L89" i="4"/>
  <c r="K89" i="4"/>
  <c r="J89" i="4"/>
  <c r="P88" i="4"/>
  <c r="O88" i="4"/>
  <c r="N88" i="4"/>
  <c r="M88" i="4"/>
  <c r="L88" i="4"/>
  <c r="K88" i="4"/>
  <c r="J88" i="4"/>
  <c r="P87" i="4"/>
  <c r="O87" i="4"/>
  <c r="N87" i="4"/>
  <c r="M87" i="4"/>
  <c r="L87" i="4"/>
  <c r="K87" i="4"/>
  <c r="J87" i="4"/>
  <c r="P86" i="4"/>
  <c r="O86" i="4"/>
  <c r="N86" i="4"/>
  <c r="M86" i="4"/>
  <c r="L86" i="4"/>
  <c r="K86" i="4"/>
  <c r="J86" i="4"/>
  <c r="P84" i="4"/>
  <c r="O84" i="4"/>
  <c r="N84" i="4"/>
  <c r="M84" i="4"/>
  <c r="L84" i="4"/>
  <c r="K84" i="4"/>
  <c r="J84" i="4"/>
  <c r="P80" i="4"/>
  <c r="O80" i="4"/>
  <c r="N80" i="4"/>
  <c r="M80" i="4"/>
  <c r="L80" i="4"/>
  <c r="K80" i="4"/>
  <c r="J80" i="4"/>
  <c r="P78" i="4"/>
  <c r="O78" i="4"/>
  <c r="N78" i="4"/>
  <c r="M78" i="4"/>
  <c r="L78" i="4"/>
  <c r="K78" i="4"/>
  <c r="J78" i="4"/>
  <c r="P76" i="4"/>
  <c r="O76" i="4"/>
  <c r="N76" i="4"/>
  <c r="M76" i="4"/>
  <c r="L76" i="4"/>
  <c r="K76" i="4"/>
  <c r="J76" i="4"/>
  <c r="P72" i="4"/>
  <c r="O72" i="4"/>
  <c r="N72" i="4"/>
  <c r="M72" i="4"/>
  <c r="L72" i="4"/>
  <c r="K72" i="4"/>
  <c r="J72" i="4"/>
  <c r="P69" i="4"/>
  <c r="O69" i="4"/>
  <c r="N69" i="4"/>
  <c r="M69" i="4"/>
  <c r="L69" i="4"/>
  <c r="K69" i="4"/>
  <c r="J69" i="4"/>
  <c r="K67" i="4"/>
  <c r="J67" i="4"/>
  <c r="L67" i="4" s="1"/>
  <c r="K65" i="4"/>
  <c r="J65" i="4"/>
  <c r="L65" i="4" s="1"/>
  <c r="K62" i="4"/>
  <c r="J62" i="4"/>
  <c r="L62" i="4" s="1"/>
  <c r="K58" i="4"/>
  <c r="J58" i="4"/>
  <c r="K56" i="4"/>
  <c r="P56" i="4" s="1"/>
  <c r="J56" i="4"/>
  <c r="L56" i="4" s="1"/>
  <c r="K51" i="4"/>
  <c r="J51" i="4"/>
  <c r="K47" i="4"/>
  <c r="J47" i="4"/>
  <c r="L47" i="4" s="1"/>
  <c r="K45" i="4"/>
  <c r="J45" i="4"/>
  <c r="L45" i="4" s="1"/>
  <c r="K41" i="4"/>
  <c r="J41" i="4"/>
  <c r="L41" i="4" s="1"/>
  <c r="P32" i="4"/>
  <c r="O32" i="4"/>
  <c r="N32" i="4"/>
  <c r="M32" i="4"/>
  <c r="L32" i="4"/>
  <c r="K32" i="4"/>
  <c r="J32" i="4"/>
  <c r="P29" i="4"/>
  <c r="O29" i="4"/>
  <c r="N29" i="4"/>
  <c r="M29" i="4"/>
  <c r="L29" i="4"/>
  <c r="K29" i="4"/>
  <c r="J29" i="4"/>
  <c r="P23" i="4"/>
  <c r="O23" i="4"/>
  <c r="N23" i="4"/>
  <c r="M23" i="4"/>
  <c r="L23" i="4"/>
  <c r="K23" i="4"/>
  <c r="J23" i="4"/>
  <c r="P19" i="4"/>
  <c r="O19" i="4"/>
  <c r="N19" i="4"/>
  <c r="M19" i="4"/>
  <c r="L19" i="4"/>
  <c r="K19" i="4"/>
  <c r="J19" i="4"/>
  <c r="P17" i="4"/>
  <c r="O17" i="4"/>
  <c r="N17" i="4"/>
  <c r="M17" i="4"/>
  <c r="L17" i="4"/>
  <c r="K17" i="4"/>
  <c r="J17" i="4"/>
  <c r="P13" i="4"/>
  <c r="O13" i="4"/>
  <c r="N13" i="4"/>
  <c r="M13" i="4"/>
  <c r="L13" i="4"/>
  <c r="K13" i="4"/>
  <c r="J13" i="4"/>
  <c r="P3" i="4"/>
  <c r="O3" i="4"/>
  <c r="N3" i="4"/>
  <c r="M3" i="4"/>
  <c r="L3" i="4"/>
  <c r="K3" i="4"/>
  <c r="J3" i="4"/>
  <c r="D2" i="11"/>
  <c r="D21" i="12"/>
  <c r="D20" i="12"/>
  <c r="D18" i="12"/>
  <c r="D16" i="12"/>
  <c r="D15" i="12"/>
  <c r="D14" i="12"/>
  <c r="D9" i="12"/>
  <c r="D7" i="12"/>
  <c r="D5" i="12"/>
  <c r="D2" i="12"/>
  <c r="P21" i="12"/>
  <c r="O21" i="12"/>
  <c r="N21" i="12"/>
  <c r="M21" i="12"/>
  <c r="L21" i="12"/>
  <c r="K21" i="12"/>
  <c r="J21" i="12"/>
  <c r="P20" i="12"/>
  <c r="O20" i="12"/>
  <c r="N20" i="12"/>
  <c r="M20" i="12"/>
  <c r="L20" i="12"/>
  <c r="K20" i="12"/>
  <c r="J20" i="12"/>
  <c r="P18" i="12"/>
  <c r="O18" i="12"/>
  <c r="N18" i="12"/>
  <c r="M18" i="12"/>
  <c r="L18" i="12"/>
  <c r="K18" i="12"/>
  <c r="J18" i="12"/>
  <c r="P16" i="12"/>
  <c r="O16" i="12"/>
  <c r="N16" i="12"/>
  <c r="M16" i="12"/>
  <c r="L16" i="12"/>
  <c r="K16" i="12"/>
  <c r="J16" i="12"/>
  <c r="P15" i="12"/>
  <c r="O15" i="12"/>
  <c r="N15" i="12"/>
  <c r="M15" i="12"/>
  <c r="L15" i="12"/>
  <c r="K15" i="12"/>
  <c r="J15" i="12"/>
  <c r="P14" i="12"/>
  <c r="O14" i="12"/>
  <c r="N14" i="12"/>
  <c r="M14" i="12"/>
  <c r="L14" i="12"/>
  <c r="K14" i="12"/>
  <c r="J14" i="12"/>
  <c r="P9" i="12"/>
  <c r="O9" i="12"/>
  <c r="N9" i="12"/>
  <c r="M9" i="12"/>
  <c r="L9" i="12"/>
  <c r="K9" i="12"/>
  <c r="J9" i="12"/>
  <c r="P7" i="12"/>
  <c r="O7" i="12"/>
  <c r="N7" i="12"/>
  <c r="M7" i="12"/>
  <c r="L7" i="12"/>
  <c r="K7" i="12"/>
  <c r="J7" i="12"/>
  <c r="P5" i="12"/>
  <c r="O5" i="12"/>
  <c r="N5" i="12"/>
  <c r="M5" i="12"/>
  <c r="L5" i="12"/>
  <c r="K5" i="12"/>
  <c r="J5" i="12"/>
  <c r="P2" i="12"/>
  <c r="O2" i="12"/>
  <c r="N2" i="12"/>
  <c r="M2" i="12"/>
  <c r="L2" i="12"/>
  <c r="K2" i="12"/>
  <c r="J2" i="12"/>
  <c r="D22" i="11"/>
  <c r="D21" i="11"/>
  <c r="D18" i="11"/>
  <c r="D15" i="11"/>
  <c r="D13" i="11"/>
  <c r="D10" i="11"/>
  <c r="D6" i="11"/>
  <c r="P22" i="11"/>
  <c r="O22" i="11"/>
  <c r="N22" i="11"/>
  <c r="M22" i="11"/>
  <c r="L22" i="11"/>
  <c r="K22" i="11"/>
  <c r="J22" i="11"/>
  <c r="P21" i="11"/>
  <c r="O21" i="11"/>
  <c r="N21" i="11"/>
  <c r="M21" i="11"/>
  <c r="L21" i="11"/>
  <c r="K21" i="11"/>
  <c r="J21" i="11"/>
  <c r="P18" i="11"/>
  <c r="O18" i="11"/>
  <c r="N18" i="11"/>
  <c r="M18" i="11"/>
  <c r="L18" i="11"/>
  <c r="K18" i="11"/>
  <c r="J18" i="11"/>
  <c r="P15" i="11"/>
  <c r="O15" i="11"/>
  <c r="N15" i="11"/>
  <c r="M15" i="11"/>
  <c r="L15" i="11"/>
  <c r="K15" i="11"/>
  <c r="J15" i="11"/>
  <c r="P13" i="11"/>
  <c r="O13" i="11"/>
  <c r="N13" i="11"/>
  <c r="M13" i="11"/>
  <c r="L13" i="11"/>
  <c r="K13" i="11"/>
  <c r="J13" i="11"/>
  <c r="P10" i="11"/>
  <c r="O10" i="11"/>
  <c r="N10" i="11"/>
  <c r="M10" i="11"/>
  <c r="L10" i="11"/>
  <c r="K10" i="11"/>
  <c r="J10" i="11"/>
  <c r="P6" i="11"/>
  <c r="O6" i="11"/>
  <c r="N6" i="11"/>
  <c r="M6" i="11"/>
  <c r="L6" i="11"/>
  <c r="K6" i="11"/>
  <c r="J6" i="11"/>
  <c r="P2" i="11"/>
  <c r="O2" i="11"/>
  <c r="N2" i="11"/>
  <c r="M2" i="11"/>
  <c r="L2" i="11"/>
  <c r="K2" i="11"/>
  <c r="J2" i="11"/>
  <c r="D2" i="6"/>
  <c r="D6" i="6"/>
  <c r="D10" i="6"/>
  <c r="P2" i="6"/>
  <c r="O2" i="6"/>
  <c r="N2" i="6"/>
  <c r="M2" i="6"/>
  <c r="L2" i="6"/>
  <c r="K2" i="6"/>
  <c r="J2" i="6"/>
  <c r="D24" i="1"/>
  <c r="D17" i="1"/>
  <c r="D12" i="1"/>
  <c r="D6" i="1"/>
  <c r="D2" i="1"/>
  <c r="D16" i="6"/>
  <c r="D14" i="6"/>
  <c r="K24" i="1"/>
  <c r="P24" i="1" s="1"/>
  <c r="J24" i="1"/>
  <c r="L24" i="1" s="1"/>
  <c r="K17" i="1"/>
  <c r="P17" i="1" s="1"/>
  <c r="J17" i="1"/>
  <c r="L17" i="1" s="1"/>
  <c r="K12" i="1"/>
  <c r="O12" i="1" s="1"/>
  <c r="J12" i="1"/>
  <c r="K6" i="1"/>
  <c r="P6" i="1" s="1"/>
  <c r="J6" i="1"/>
  <c r="L6" i="1" s="1"/>
  <c r="K2" i="1"/>
  <c r="O2" i="1" s="1"/>
  <c r="J2" i="1"/>
  <c r="L2" i="1" s="1"/>
  <c r="K37" i="4"/>
  <c r="P37" i="4" s="1"/>
  <c r="J37" i="4"/>
  <c r="K3" i="10"/>
  <c r="J3" i="10"/>
  <c r="L3" i="10" s="1"/>
  <c r="K35" i="4"/>
  <c r="J35" i="4"/>
  <c r="K25" i="4"/>
  <c r="J25" i="4"/>
  <c r="K10" i="4"/>
  <c r="J10" i="4"/>
  <c r="K8" i="4"/>
  <c r="J8" i="4"/>
  <c r="P67" i="4" l="1"/>
  <c r="M67" i="4"/>
  <c r="N67" i="4"/>
  <c r="O67" i="4"/>
  <c r="P65" i="4"/>
  <c r="M65" i="4"/>
  <c r="N65" i="4"/>
  <c r="O65" i="4"/>
  <c r="P62" i="4"/>
  <c r="M62" i="4"/>
  <c r="N62" i="4"/>
  <c r="O62" i="4"/>
  <c r="L58" i="4"/>
  <c r="P58" i="4"/>
  <c r="M58" i="4"/>
  <c r="N58" i="4"/>
  <c r="O58" i="4"/>
  <c r="M56" i="4"/>
  <c r="N56" i="4"/>
  <c r="O56" i="4"/>
  <c r="O51" i="4"/>
  <c r="N51" i="4"/>
  <c r="L51" i="4"/>
  <c r="M51" i="4"/>
  <c r="P51" i="4"/>
  <c r="P47" i="4"/>
  <c r="M47" i="4"/>
  <c r="N47" i="4"/>
  <c r="O47" i="4"/>
  <c r="P45" i="4"/>
  <c r="M45" i="4"/>
  <c r="N45" i="4"/>
  <c r="O45" i="4"/>
  <c r="P41" i="4"/>
  <c r="M41" i="4"/>
  <c r="N41" i="4"/>
  <c r="O41" i="4"/>
  <c r="N37" i="4"/>
  <c r="L37" i="4"/>
  <c r="L12" i="1"/>
  <c r="M12" i="1"/>
  <c r="P12" i="1"/>
  <c r="M17" i="1"/>
  <c r="P2" i="1"/>
  <c r="N12" i="1"/>
  <c r="M2" i="1"/>
  <c r="N2" i="1"/>
  <c r="N17" i="1"/>
  <c r="O17" i="1"/>
  <c r="M6" i="1"/>
  <c r="N6" i="1"/>
  <c r="M24" i="1"/>
  <c r="O6" i="1"/>
  <c r="N24" i="1"/>
  <c r="O24" i="1"/>
  <c r="M37" i="4"/>
  <c r="O37" i="4"/>
  <c r="L35" i="4"/>
  <c r="L25" i="4"/>
  <c r="L10" i="4"/>
  <c r="P35" i="4"/>
  <c r="P25" i="4"/>
  <c r="M25" i="4"/>
  <c r="N25" i="4"/>
  <c r="M35" i="4"/>
  <c r="O25" i="4"/>
  <c r="N35" i="4"/>
  <c r="O35" i="4"/>
  <c r="O3" i="10"/>
  <c r="P3" i="10"/>
  <c r="N3" i="10"/>
  <c r="M3" i="10"/>
  <c r="P8" i="4"/>
  <c r="P10" i="4"/>
  <c r="L8" i="4"/>
  <c r="M8" i="4"/>
  <c r="N8" i="4"/>
  <c r="O8" i="4"/>
  <c r="M10" i="4"/>
  <c r="N10" i="4"/>
  <c r="O10" i="4"/>
  <c r="K16" i="6"/>
  <c r="P16" i="6" s="1"/>
  <c r="J16" i="6"/>
  <c r="L16" i="6" s="1"/>
  <c r="K14" i="6"/>
  <c r="P14" i="6" s="1"/>
  <c r="J14" i="6"/>
  <c r="K10" i="6"/>
  <c r="J10" i="6"/>
  <c r="L10" i="6" s="1"/>
  <c r="K6" i="6"/>
  <c r="J6" i="6"/>
  <c r="L6" i="6" s="1"/>
  <c r="O16" i="6" l="1"/>
  <c r="L14" i="6"/>
  <c r="M16" i="6"/>
  <c r="N16" i="6"/>
  <c r="P10" i="6"/>
  <c r="O6" i="6"/>
  <c r="M10" i="6"/>
  <c r="N10" i="6"/>
  <c r="O10" i="6"/>
  <c r="M14" i="6"/>
  <c r="N14" i="6"/>
  <c r="O14" i="6"/>
  <c r="M6" i="6"/>
  <c r="N6" i="6"/>
  <c r="P6" i="6"/>
</calcChain>
</file>

<file path=xl/sharedStrings.xml><?xml version="1.0" encoding="utf-8"?>
<sst xmlns="http://schemas.openxmlformats.org/spreadsheetml/2006/main" count="1339" uniqueCount="503">
  <si>
    <t>ECTS</t>
  </si>
  <si>
    <t>Title</t>
  </si>
  <si>
    <t>Grade</t>
  </si>
  <si>
    <t>Weighted Score</t>
  </si>
  <si>
    <t>Current Weighting</t>
  </si>
  <si>
    <t>Current Average</t>
  </si>
  <si>
    <t>Average Needed for First</t>
  </si>
  <si>
    <t>Average Needed for 2:1</t>
  </si>
  <si>
    <t>Design and Professional
Practice 2</t>
  </si>
  <si>
    <t>Written report</t>
  </si>
  <si>
    <t>Product specification document</t>
  </si>
  <si>
    <t>Presentation</t>
  </si>
  <si>
    <t>Group presentation</t>
  </si>
  <si>
    <t>Poster</t>
  </si>
  <si>
    <t>Poster and project demonstration event</t>
  </si>
  <si>
    <t>Final report</t>
  </si>
  <si>
    <t>Mathematics and
Engineering 2</t>
  </si>
  <si>
    <t>Written exam</t>
  </si>
  <si>
    <t>Maths main exam</t>
  </si>
  <si>
    <t xml:space="preserve">Signals and Control main exam </t>
  </si>
  <si>
    <t>Progress test</t>
  </si>
  <si>
    <t>Maths alpha/beta-progress test</t>
  </si>
  <si>
    <t>Maths gamma progress test</t>
  </si>
  <si>
    <t>Signals progress test</t>
  </si>
  <si>
    <t>Control progress test</t>
  </si>
  <si>
    <t>Medical and Biochemical
Science 2</t>
  </si>
  <si>
    <t>Medical science main exam</t>
  </si>
  <si>
    <t>MCP2 main exam</t>
  </si>
  <si>
    <t>Medical Science progress test</t>
  </si>
  <si>
    <t>Lab report</t>
  </si>
  <si>
    <t>Arduino presentation</t>
  </si>
  <si>
    <t>Molecules, Materials and 
Measurement 2</t>
  </si>
  <si>
    <t>Problem sheet</t>
  </si>
  <si>
    <t>Build a Spectrometer</t>
  </si>
  <si>
    <t>Analytical Techniques</t>
  </si>
  <si>
    <t>Separation Techniques</t>
  </si>
  <si>
    <t>Programming 2</t>
  </si>
  <si>
    <t>Coursework</t>
  </si>
  <si>
    <t>Assignment 1</t>
  </si>
  <si>
    <t>Assignment 2</t>
  </si>
  <si>
    <t>Bioengineering Science 2</t>
  </si>
  <si>
    <t>Main exam</t>
  </si>
  <si>
    <t>Problem sheet 1</t>
  </si>
  <si>
    <t>Problem sheet 2</t>
  </si>
  <si>
    <t>Electronics and
Electromagnetics 2</t>
  </si>
  <si>
    <t>Combined final exam</t>
  </si>
  <si>
    <t>SPICE coursework</t>
  </si>
  <si>
    <t>Quiz</t>
  </si>
  <si>
    <t>EM quiz</t>
  </si>
  <si>
    <t>Fluid and Solid 
Mechanics 2</t>
  </si>
  <si>
    <t>Mastery exam</t>
  </si>
  <si>
    <t>Combined fluids and solids mastery</t>
  </si>
  <si>
    <t>Non-mastery exam</t>
  </si>
  <si>
    <t>Solids problem sheet</t>
  </si>
  <si>
    <t>Fluids problem sheet</t>
  </si>
  <si>
    <t>Mathematics 2</t>
  </si>
  <si>
    <t>Alpha/Beta progress test</t>
  </si>
  <si>
    <t>Gamma progress test</t>
  </si>
  <si>
    <t>Medical Science 2</t>
  </si>
  <si>
    <t>Mastery</t>
  </si>
  <si>
    <t>Signals and Control</t>
  </si>
  <si>
    <t>Signals and Control exam</t>
  </si>
  <si>
    <t>Progress Test 1: Signals</t>
  </si>
  <si>
    <t>Progress Test 2: Control</t>
  </si>
  <si>
    <t>Compulsory Modules</t>
  </si>
  <si>
    <t>Code</t>
  </si>
  <si>
    <t>BIOE60005</t>
  </si>
  <si>
    <t>Bioengineering Group Project</t>
  </si>
  <si>
    <t>Literature mind map</t>
  </si>
  <si>
    <t>Literature highlights</t>
  </si>
  <si>
    <t>Project pitch</t>
  </si>
  <si>
    <t>Other</t>
  </si>
  <si>
    <t>Brochure pitch</t>
  </si>
  <si>
    <t>BIOE60011</t>
  </si>
  <si>
    <t>Probability, Statistics and Data Analysis</t>
  </si>
  <si>
    <t>Matlab assignment</t>
  </si>
  <si>
    <t>BIOE60012</t>
  </si>
  <si>
    <t>Foundations of Synthetic Biology</t>
  </si>
  <si>
    <t>Experimental lab report</t>
  </si>
  <si>
    <t>BIOE60024</t>
  </si>
  <si>
    <t>Modelling in Biology</t>
  </si>
  <si>
    <t>Deterministic Nonlinear Dynamics</t>
  </si>
  <si>
    <t>Stochastic Processes and Networks</t>
  </si>
  <si>
    <t>BIOE60034</t>
  </si>
  <si>
    <t>Biomaterials for Bioengineers</t>
  </si>
  <si>
    <t>Multiple choice quiz</t>
  </si>
  <si>
    <t>I-EXPLORE</t>
  </si>
  <si>
    <t>I-Explore</t>
  </si>
  <si>
    <t>Pass/Fail</t>
  </si>
  <si>
    <t>Set by I-Explore</t>
  </si>
  <si>
    <t>-</t>
  </si>
  <si>
    <t>Weight %</t>
  </si>
  <si>
    <t>Pass-mark</t>
  </si>
  <si>
    <t>Assessments</t>
  </si>
  <si>
    <t>Elective Modules</t>
  </si>
  <si>
    <t>BIOE60006</t>
  </si>
  <si>
    <t>Digital Biosignal Processing</t>
  </si>
  <si>
    <t>Lab exercises report 1</t>
  </si>
  <si>
    <t>Lab exercises report 2</t>
  </si>
  <si>
    <t>Lab exercises report 3</t>
  </si>
  <si>
    <t>BIOE60008</t>
  </si>
  <si>
    <t>Image Processing</t>
  </si>
  <si>
    <t>BIOE60010</t>
  </si>
  <si>
    <t>Software Engineering for Bioengineers</t>
  </si>
  <si>
    <t>Project report</t>
  </si>
  <si>
    <t>Programming test</t>
  </si>
  <si>
    <t>Planning presentation</t>
  </si>
  <si>
    <t>BIOE60013</t>
  </si>
  <si>
    <t>Tissue Engineering and Regenerative Medicine</t>
  </si>
  <si>
    <t>Poster coursework</t>
  </si>
  <si>
    <t>BIOE60015</t>
  </si>
  <si>
    <t>Advanced Imaging Technologies for Systems Biology</t>
  </si>
  <si>
    <t>BIOE70012</t>
  </si>
  <si>
    <t>Biomimetics</t>
  </si>
  <si>
    <t>Journal club</t>
  </si>
  <si>
    <t>Group poster &amp; proposal</t>
  </si>
  <si>
    <t>BIOE70049</t>
  </si>
  <si>
    <t>Bioengineering Approaches to Cancer</t>
  </si>
  <si>
    <t>Cancer research &amp; oncology seminars</t>
  </si>
  <si>
    <t>BIOE70076</t>
  </si>
  <si>
    <t>Communicating Biomedical Science and Engineering</t>
  </si>
  <si>
    <t>Teaching activity report</t>
  </si>
  <si>
    <t>Teacher</t>
  </si>
  <si>
    <t>Summary presentation</t>
  </si>
  <si>
    <t>Reflective e-journal</t>
  </si>
  <si>
    <t>BIOE70008</t>
  </si>
  <si>
    <t>Advanced Physiological Monitoring and Data Analysis</t>
  </si>
  <si>
    <t>BIOE70005</t>
  </si>
  <si>
    <t>Cellular and Molecular Mechanotransduction</t>
  </si>
  <si>
    <t>Assessing cytoskeleton in metazoans cells</t>
  </si>
  <si>
    <t>ELEC60002</t>
  </si>
  <si>
    <t>Statistical Signal Processing and Inference</t>
  </si>
  <si>
    <t>Set by EEE</t>
  </si>
  <si>
    <t>ELEC60004</t>
  </si>
  <si>
    <t>Machine Reasoning</t>
  </si>
  <si>
    <t>ELEC60008</t>
  </si>
  <si>
    <t>Control Engineering</t>
  </si>
  <si>
    <t>BIOE50002</t>
  </si>
  <si>
    <t>BIOE50005</t>
  </si>
  <si>
    <t>BIOE50007</t>
  </si>
  <si>
    <t>BIOE50009</t>
  </si>
  <si>
    <t>BIOE50010</t>
  </si>
  <si>
    <t>BIOE50001</t>
  </si>
  <si>
    <t>BIOE50003</t>
  </si>
  <si>
    <t>BIOE50004</t>
  </si>
  <si>
    <t>BIOE50006</t>
  </si>
  <si>
    <t>BIOE50008</t>
  </si>
  <si>
    <t>BIOE50011</t>
  </si>
  <si>
    <r>
      <rPr>
        <sz val="10"/>
        <rFont val="Arial MT"/>
        <family val="2"/>
      </rPr>
      <t>BIOE40002</t>
    </r>
  </si>
  <si>
    <r>
      <rPr>
        <sz val="10"/>
        <rFont val="Arial MT"/>
        <family val="2"/>
      </rPr>
      <t>Computer Fundamentals and Programming 1</t>
    </r>
  </si>
  <si>
    <r>
      <rPr>
        <sz val="10"/>
        <rFont val="Arial MT"/>
        <family val="2"/>
      </rPr>
      <t>Written exam</t>
    </r>
  </si>
  <si>
    <r>
      <rPr>
        <sz val="10"/>
        <rFont val="Arial MT"/>
        <family val="2"/>
      </rPr>
      <t>Digital logic exam</t>
    </r>
  </si>
  <si>
    <r>
      <rPr>
        <sz val="10"/>
        <rFont val="Arial MT"/>
        <family val="2"/>
      </rPr>
      <t>Programming Test</t>
    </r>
  </si>
  <si>
    <r>
      <rPr>
        <sz val="10"/>
        <rFont val="Arial MT"/>
        <family val="2"/>
      </rPr>
      <t>Logbook test</t>
    </r>
  </si>
  <si>
    <r>
      <rPr>
        <sz val="10"/>
        <rFont val="Arial MT"/>
        <family val="2"/>
      </rPr>
      <t>Matlab online test</t>
    </r>
  </si>
  <si>
    <t>Live programming test</t>
  </si>
  <si>
    <t>BIOE40003</t>
  </si>
  <si>
    <t>Design and Professional Practice 1</t>
  </si>
  <si>
    <t>Portfolio</t>
  </si>
  <si>
    <t>Design challenge document</t>
  </si>
  <si>
    <t>Walking and running/spitting</t>
  </si>
  <si>
    <t>Portfolio Review</t>
  </si>
  <si>
    <t>BIOE40005</t>
  </si>
  <si>
    <t>Mathematics and Engineering 1</t>
  </si>
  <si>
    <t>Progress test - alpha/beta</t>
  </si>
  <si>
    <t>Progress test - gamma/delta</t>
  </si>
  <si>
    <t>Mathematics exam</t>
  </si>
  <si>
    <t>Fundamentals of Engineering exam</t>
  </si>
  <si>
    <t>BIOE40007</t>
  </si>
  <si>
    <t>Medical and Biochemical Science 1</t>
  </si>
  <si>
    <t>Combined Medical science and MCP exam</t>
  </si>
  <si>
    <t>Lab portfolio</t>
  </si>
  <si>
    <t>Lab reports</t>
  </si>
  <si>
    <t>BIOE40008</t>
  </si>
  <si>
    <t>Molecules and Energetics 1</t>
  </si>
  <si>
    <t>Molecules exam</t>
  </si>
  <si>
    <t>Thermodynamics and kinetics exam</t>
  </si>
  <si>
    <t>Contact Angles</t>
  </si>
  <si>
    <t>Enzyme kinetics and thermodynamics</t>
  </si>
  <si>
    <t>pH and buffers</t>
  </si>
  <si>
    <t>BIOE40002</t>
  </si>
  <si>
    <t>Computer Fundamentals and Programming 1</t>
  </si>
  <si>
    <t>Digital logic exam</t>
  </si>
  <si>
    <t>Programming Test</t>
  </si>
  <si>
    <t>Logbook test</t>
  </si>
  <si>
    <t>Matlab online test</t>
  </si>
  <si>
    <r>
      <rPr>
        <sz val="10"/>
        <rFont val="Arial MT"/>
        <family val="2"/>
      </rPr>
      <t>BIOE40001</t>
    </r>
  </si>
  <si>
    <r>
      <rPr>
        <sz val="10"/>
        <rFont val="Arial MT"/>
        <family val="2"/>
      </rPr>
      <t>Bioengineering Science 1</t>
    </r>
  </si>
  <si>
    <r>
      <rPr>
        <sz val="10"/>
        <rFont val="Arial MT"/>
        <family val="2"/>
      </rPr>
      <t>Progress test</t>
    </r>
  </si>
  <si>
    <r>
      <rPr>
        <sz val="10"/>
        <rFont val="Arial MT"/>
        <family val="2"/>
      </rPr>
      <t>Fundamentals of Materials Progress test</t>
    </r>
  </si>
  <si>
    <r>
      <rPr>
        <sz val="10"/>
        <rFont val="Arial MT"/>
        <family val="2"/>
      </rPr>
      <t>Thermodynamics and kinetics exam</t>
    </r>
  </si>
  <si>
    <r>
      <rPr>
        <sz val="10"/>
        <rFont val="Arial MT"/>
        <family val="2"/>
      </rPr>
      <t>Problem sheet</t>
    </r>
  </si>
  <si>
    <r>
      <rPr>
        <sz val="10"/>
        <rFont val="Arial MT"/>
        <family val="2"/>
      </rPr>
      <t>Celebration of Materials</t>
    </r>
  </si>
  <si>
    <t>Average Needed for 1st</t>
  </si>
  <si>
    <t>Average Needed for 2:2</t>
  </si>
  <si>
    <t>Average Needed for 3rd</t>
  </si>
  <si>
    <r>
      <rPr>
        <sz val="10"/>
        <rFont val="Arial MT"/>
        <family val="2"/>
      </rPr>
      <t>BIOE40003</t>
    </r>
  </si>
  <si>
    <r>
      <rPr>
        <sz val="10"/>
        <rFont val="Arial MT"/>
        <family val="2"/>
      </rPr>
      <t>Design and Professional Practice 1</t>
    </r>
  </si>
  <si>
    <r>
      <rPr>
        <sz val="10"/>
        <rFont val="Arial MT"/>
        <family val="2"/>
      </rPr>
      <t>Portfolio</t>
    </r>
  </si>
  <si>
    <r>
      <rPr>
        <sz val="10"/>
        <rFont val="Arial MT"/>
        <family val="2"/>
      </rPr>
      <t>Written report</t>
    </r>
  </si>
  <si>
    <r>
      <rPr>
        <sz val="10"/>
        <rFont val="Arial MT"/>
        <family val="2"/>
      </rPr>
      <t>Design challenge document</t>
    </r>
  </si>
  <si>
    <r>
      <rPr>
        <sz val="10"/>
        <rFont val="Arial MT"/>
        <family val="2"/>
      </rPr>
      <t>Presentation</t>
    </r>
  </si>
  <si>
    <r>
      <rPr>
        <sz val="10"/>
        <rFont val="Arial MT"/>
        <family val="2"/>
      </rPr>
      <t>Walking and running</t>
    </r>
  </si>
  <si>
    <r>
      <rPr>
        <sz val="10"/>
        <rFont val="Arial MT"/>
        <family val="2"/>
      </rPr>
      <t>Review</t>
    </r>
  </si>
  <si>
    <r>
      <rPr>
        <sz val="10"/>
        <rFont val="Arial MT"/>
        <family val="2"/>
      </rPr>
      <t>Portfolio Review</t>
    </r>
  </si>
  <si>
    <r>
      <rPr>
        <sz val="10"/>
        <rFont val="Arial MT"/>
        <family val="2"/>
      </rPr>
      <t>BIOE40004</t>
    </r>
  </si>
  <si>
    <r>
      <rPr>
        <sz val="10"/>
        <rFont val="Arial MT"/>
        <family val="2"/>
      </rPr>
      <t>Mathematics 1</t>
    </r>
  </si>
  <si>
    <r>
      <rPr>
        <sz val="10"/>
        <rFont val="Arial MT"/>
        <family val="2"/>
      </rPr>
      <t>Progress test - alpha/beta</t>
    </r>
  </si>
  <si>
    <r>
      <rPr>
        <sz val="10"/>
        <rFont val="Arial MT"/>
        <family val="2"/>
      </rPr>
      <t>Progress test - gamma/delta</t>
    </r>
  </si>
  <si>
    <r>
      <rPr>
        <sz val="10"/>
        <rFont val="Arial MT"/>
        <family val="2"/>
      </rPr>
      <t>Main exam</t>
    </r>
  </si>
  <si>
    <r>
      <rPr>
        <sz val="10"/>
        <rFont val="Arial MT"/>
        <family val="2"/>
      </rPr>
      <t>BIOE40006</t>
    </r>
  </si>
  <si>
    <r>
      <rPr>
        <sz val="10"/>
        <rFont val="Arial MT"/>
        <family val="2"/>
      </rPr>
      <t>Mechanics and Electronics 1</t>
    </r>
  </si>
  <si>
    <r>
      <rPr>
        <sz val="10"/>
        <rFont val="Arial MT"/>
        <family val="2"/>
      </rPr>
      <t>Coursework</t>
    </r>
  </si>
  <si>
    <r>
      <rPr>
        <sz val="10"/>
        <rFont val="Arial MT"/>
        <family val="2"/>
      </rPr>
      <t>Mechanics group CW 1</t>
    </r>
  </si>
  <si>
    <r>
      <rPr>
        <sz val="10"/>
        <rFont val="Arial MT"/>
        <family val="2"/>
      </rPr>
      <t>Mechanics group CW 2</t>
    </r>
  </si>
  <si>
    <r>
      <rPr>
        <sz val="10"/>
        <rFont val="Arial MT"/>
        <family val="2"/>
      </rPr>
      <t>EE Progress Test 1</t>
    </r>
  </si>
  <si>
    <r>
      <rPr>
        <sz val="10"/>
        <rFont val="Arial MT"/>
        <family val="2"/>
      </rPr>
      <t>EE Progress Test 2</t>
    </r>
  </si>
  <si>
    <r>
      <rPr>
        <sz val="10"/>
        <rFont val="Arial MT"/>
        <family val="2"/>
      </rPr>
      <t>Lab report</t>
    </r>
  </si>
  <si>
    <r>
      <rPr>
        <sz val="10"/>
        <rFont val="Arial MT"/>
        <family val="2"/>
      </rPr>
      <t>EE labs report</t>
    </r>
  </si>
  <si>
    <r>
      <rPr>
        <sz val="10"/>
        <rFont val="Arial MT"/>
        <family val="2"/>
      </rPr>
      <t>Vibrations experiment report</t>
    </r>
  </si>
  <si>
    <r>
      <rPr>
        <sz val="10"/>
        <rFont val="Arial MT"/>
        <family val="2"/>
      </rPr>
      <t>BIOE40010</t>
    </r>
  </si>
  <si>
    <r>
      <rPr>
        <sz val="10"/>
        <rFont val="Arial MT"/>
        <family val="2"/>
      </rPr>
      <t>Medical and Biological Science 1</t>
    </r>
  </si>
  <si>
    <r>
      <rPr>
        <sz val="10"/>
        <rFont val="Arial MT"/>
        <family val="2"/>
      </rPr>
      <t>Combined medical science and MCP written exam</t>
    </r>
  </si>
  <si>
    <r>
      <rPr>
        <sz val="10"/>
        <rFont val="Arial MT"/>
        <family val="2"/>
      </rPr>
      <t>ECG report</t>
    </r>
  </si>
  <si>
    <t>Assesments</t>
  </si>
  <si>
    <r>
      <rPr>
        <sz val="10"/>
        <rFont val="Arial MT"/>
        <family val="2"/>
      </rPr>
      <t>Live programming test</t>
    </r>
  </si>
  <si>
    <r>
      <rPr>
        <sz val="10"/>
        <rFont val="Arial MT"/>
        <family val="2"/>
      </rPr>
      <t>BIOE40011</t>
    </r>
  </si>
  <si>
    <r>
      <rPr>
        <sz val="10"/>
        <rFont val="Arial MT"/>
        <family val="2"/>
      </rPr>
      <t>Foundations of Biomedical Engineering</t>
    </r>
  </si>
  <si>
    <r>
      <rPr>
        <sz val="10"/>
        <rFont val="Arial MT"/>
        <family val="2"/>
      </rPr>
      <t>Final exam</t>
    </r>
  </si>
  <si>
    <r>
      <rPr>
        <sz val="10"/>
        <rFont val="Arial MT"/>
        <family val="2"/>
      </rPr>
      <t>BIOE40014</t>
    </r>
  </si>
  <si>
    <r>
      <rPr>
        <sz val="10"/>
        <rFont val="Arial MT"/>
        <family val="2"/>
      </rPr>
      <t>Sensors and Actuation</t>
    </r>
  </si>
  <si>
    <r>
      <rPr>
        <sz val="10"/>
        <rFont val="Arial MT"/>
        <family val="2"/>
      </rPr>
      <t>Video</t>
    </r>
  </si>
  <si>
    <r>
      <rPr>
        <sz val="10"/>
        <rFont val="Arial MT"/>
        <family val="2"/>
      </rPr>
      <t>Instructional video</t>
    </r>
  </si>
  <si>
    <r>
      <rPr>
        <sz val="10"/>
        <rFont val="Arial MT"/>
        <family val="2"/>
      </rPr>
      <t>Quiz</t>
    </r>
  </si>
  <si>
    <r>
      <rPr>
        <sz val="10"/>
        <rFont val="Arial MT"/>
        <family val="2"/>
      </rPr>
      <t>MCQ quiz 1</t>
    </r>
  </si>
  <si>
    <r>
      <rPr>
        <sz val="10"/>
        <rFont val="Arial MT"/>
        <family val="2"/>
      </rPr>
      <t>MCQ quiz 2</t>
    </r>
  </si>
  <si>
    <r>
      <rPr>
        <sz val="10"/>
        <rFont val="Arial MT"/>
        <family val="2"/>
      </rPr>
      <t>BUSI40010</t>
    </r>
  </si>
  <si>
    <r>
      <rPr>
        <sz val="10"/>
        <rFont val="Arial MT"/>
        <family val="2"/>
      </rPr>
      <t>Business Economics</t>
    </r>
  </si>
  <si>
    <t>Set by business school</t>
  </si>
  <si>
    <r>
      <rPr>
        <sz val="10"/>
        <rFont val="Arial MT"/>
        <family val="2"/>
      </rPr>
      <t>BUSI40011</t>
    </r>
  </si>
  <si>
    <r>
      <rPr>
        <sz val="10"/>
        <rFont val="Arial MT"/>
        <family val="2"/>
      </rPr>
      <t>Entrepreneurship online</t>
    </r>
  </si>
  <si>
    <r>
      <rPr>
        <sz val="10"/>
        <rFont val="Arial MT"/>
        <family val="2"/>
      </rPr>
      <t>BIOE50006</t>
    </r>
  </si>
  <si>
    <r>
      <rPr>
        <sz val="10"/>
        <rFont val="Arial MT"/>
        <family val="2"/>
      </rPr>
      <t>Mathematics 2</t>
    </r>
  </si>
  <si>
    <r>
      <rPr>
        <sz val="10"/>
        <rFont val="Arial MT"/>
        <family val="2"/>
      </rPr>
      <t>Alpha/Beta progress test</t>
    </r>
  </si>
  <si>
    <r>
      <rPr>
        <sz val="10"/>
        <rFont val="Arial MT"/>
        <family val="2"/>
      </rPr>
      <t>Gamma progress test</t>
    </r>
  </si>
  <si>
    <r>
      <rPr>
        <sz val="10"/>
        <rFont val="Arial MT"/>
        <family val="2"/>
      </rPr>
      <t>BIOE50008</t>
    </r>
  </si>
  <si>
    <r>
      <rPr>
        <sz val="10"/>
        <rFont val="Arial MT"/>
        <family val="2"/>
      </rPr>
      <t>Medical Science 2</t>
    </r>
  </si>
  <si>
    <r>
      <rPr>
        <sz val="10"/>
        <rFont val="Arial MT"/>
        <family val="2"/>
      </rPr>
      <t>Mastery exam</t>
    </r>
  </si>
  <si>
    <r>
      <rPr>
        <sz val="10"/>
        <rFont val="Arial MT"/>
        <family val="2"/>
      </rPr>
      <t>Mastery</t>
    </r>
  </si>
  <si>
    <r>
      <rPr>
        <sz val="10"/>
        <rFont val="Arial MT"/>
        <family val="2"/>
      </rPr>
      <t>BIOE60011</t>
    </r>
  </si>
  <si>
    <r>
      <rPr>
        <sz val="10"/>
        <rFont val="Arial MT"/>
        <family val="2"/>
      </rPr>
      <t>Probability, Statistics and Data Analysis - L6</t>
    </r>
  </si>
  <si>
    <r>
      <rPr>
        <sz val="10"/>
        <rFont val="Arial MT"/>
        <family val="2"/>
      </rPr>
      <t>Other</t>
    </r>
  </si>
  <si>
    <r>
      <rPr>
        <sz val="10"/>
        <rFont val="Arial MT"/>
        <family val="2"/>
      </rPr>
      <t>Matlab-based assignment</t>
    </r>
  </si>
  <si>
    <r>
      <rPr>
        <sz val="10"/>
        <rFont val="Arial MT"/>
        <family val="2"/>
      </rPr>
      <t>BUSI60043</t>
    </r>
  </si>
  <si>
    <r>
      <rPr>
        <sz val="10"/>
        <rFont val="Arial MT"/>
        <family val="2"/>
      </rPr>
      <t>Finance and Financial Management</t>
    </r>
  </si>
  <si>
    <t>Assessments set by the home department</t>
  </si>
  <si>
    <r>
      <rPr>
        <sz val="10"/>
        <rFont val="Arial MT"/>
        <family val="2"/>
      </rPr>
      <t>BUSI60045</t>
    </r>
  </si>
  <si>
    <r>
      <rPr>
        <sz val="10"/>
        <rFont val="Arial MT"/>
        <family val="2"/>
      </rPr>
      <t>Managing Innovation</t>
    </r>
  </si>
  <si>
    <r>
      <rPr>
        <sz val="10"/>
        <rFont val="Arial MT"/>
        <family val="2"/>
      </rPr>
      <t>BIOE50010</t>
    </r>
  </si>
  <si>
    <r>
      <rPr>
        <sz val="10"/>
        <rFont val="Arial MT"/>
        <family val="2"/>
      </rPr>
      <t>Programming 2</t>
    </r>
  </si>
  <si>
    <r>
      <rPr>
        <sz val="10"/>
        <rFont val="Arial MT"/>
        <family val="2"/>
      </rPr>
      <t>Assignment</t>
    </r>
  </si>
  <si>
    <r>
      <rPr>
        <sz val="10"/>
        <rFont val="Arial MT"/>
        <family val="2"/>
      </rPr>
      <t>BIOE50012</t>
    </r>
  </si>
  <si>
    <r>
      <rPr>
        <sz val="10"/>
        <rFont val="Arial MT"/>
        <family val="2"/>
      </rPr>
      <t>An Introduction to Biomaterials</t>
    </r>
  </si>
  <si>
    <r>
      <rPr>
        <sz val="10"/>
        <rFont val="Arial MT"/>
        <family val="2"/>
      </rPr>
      <t>Multiple choice quiz 1</t>
    </r>
  </si>
  <si>
    <r>
      <rPr>
        <sz val="10"/>
        <rFont val="Arial MT"/>
        <family val="2"/>
      </rPr>
      <t>Multiple choice quiz 2</t>
    </r>
  </si>
  <si>
    <r>
      <rPr>
        <sz val="10"/>
        <rFont val="Arial MT"/>
        <family val="2"/>
      </rPr>
      <t>Practical</t>
    </r>
  </si>
  <si>
    <r>
      <rPr>
        <sz val="10"/>
        <rFont val="Arial MT"/>
        <family val="2"/>
      </rPr>
      <t>Video protocol journal</t>
    </r>
  </si>
  <si>
    <r>
      <rPr>
        <sz val="10"/>
        <rFont val="Arial MT"/>
        <family val="2"/>
      </rPr>
      <t>Research manuscript and standard protocol document</t>
    </r>
  </si>
  <si>
    <r>
      <rPr>
        <sz val="10"/>
        <rFont val="Arial MT"/>
        <family val="2"/>
      </rPr>
      <t>BIOE50013</t>
    </r>
  </si>
  <si>
    <r>
      <rPr>
        <sz val="10"/>
        <rFont val="Arial MT"/>
        <family val="2"/>
      </rPr>
      <t>Medical Device Entrepreneurship 1</t>
    </r>
  </si>
  <si>
    <r>
      <rPr>
        <sz val="10"/>
        <rFont val="Arial MT"/>
        <family val="2"/>
      </rPr>
      <t>Case study report</t>
    </r>
  </si>
  <si>
    <r>
      <rPr>
        <sz val="10"/>
        <rFont val="Arial MT"/>
        <family val="2"/>
      </rPr>
      <t>BIOE50015</t>
    </r>
  </si>
  <si>
    <r>
      <rPr>
        <sz val="10"/>
        <rFont val="Arial MT"/>
        <family val="2"/>
      </rPr>
      <t>BSc Biomedical Technology Ventures Year 2 Summer Internship</t>
    </r>
  </si>
  <si>
    <r>
      <rPr>
        <sz val="10"/>
        <rFont val="Arial MT"/>
        <family val="2"/>
      </rPr>
      <t>Internship report</t>
    </r>
  </si>
  <si>
    <r>
      <rPr>
        <sz val="10"/>
        <rFont val="Arial MT"/>
        <family val="2"/>
      </rPr>
      <t>BIOE50016</t>
    </r>
  </si>
  <si>
    <r>
      <rPr>
        <sz val="10"/>
        <rFont val="Arial MT"/>
        <family val="2"/>
      </rPr>
      <t>Principles of Design</t>
    </r>
  </si>
  <si>
    <r>
      <rPr>
        <sz val="10"/>
        <rFont val="Arial MT"/>
        <family val="2"/>
      </rPr>
      <t>Mid-project update report</t>
    </r>
  </si>
  <si>
    <r>
      <rPr>
        <sz val="10"/>
        <rFont val="Arial MT"/>
        <family val="2"/>
      </rPr>
      <t>Video Presentation</t>
    </r>
  </si>
  <si>
    <r>
      <rPr>
        <sz val="10"/>
        <rFont val="Arial MT"/>
        <family val="2"/>
      </rPr>
      <t>BIOE60005</t>
    </r>
  </si>
  <si>
    <r>
      <rPr>
        <sz val="10"/>
        <rFont val="Arial MT"/>
        <family val="2"/>
      </rPr>
      <t>Bioengineering Group Project</t>
    </r>
  </si>
  <si>
    <r>
      <rPr>
        <sz val="10"/>
        <rFont val="Arial MT"/>
        <family val="2"/>
      </rPr>
      <t>Literature mind map</t>
    </r>
  </si>
  <si>
    <r>
      <rPr>
        <sz val="10"/>
        <rFont val="Arial MT"/>
        <family val="2"/>
      </rPr>
      <t>Literature highlights</t>
    </r>
  </si>
  <si>
    <r>
      <rPr>
        <sz val="10"/>
        <rFont val="Arial MT"/>
        <family val="2"/>
      </rPr>
      <t>Project pitch</t>
    </r>
  </si>
  <si>
    <r>
      <rPr>
        <sz val="10"/>
        <rFont val="Arial MT"/>
        <family val="2"/>
      </rPr>
      <t>Final report</t>
    </r>
  </si>
  <si>
    <r>
      <rPr>
        <sz val="10"/>
        <rFont val="Arial MT"/>
        <family val="2"/>
      </rPr>
      <t>Brochure pitch</t>
    </r>
  </si>
  <si>
    <r>
      <rPr>
        <sz val="10"/>
        <rFont val="Arial MT"/>
        <family val="2"/>
      </rPr>
      <t>Matlab assignment</t>
    </r>
  </si>
  <si>
    <r>
      <rPr>
        <sz val="10"/>
        <rFont val="Arial MT"/>
        <family val="2"/>
      </rPr>
      <t>BIOE60024</t>
    </r>
  </si>
  <si>
    <r>
      <rPr>
        <sz val="10"/>
        <rFont val="Arial MT"/>
        <family val="2"/>
      </rPr>
      <t>Modelling in Biology</t>
    </r>
  </si>
  <si>
    <r>
      <rPr>
        <sz val="10"/>
        <rFont val="Arial MT"/>
        <family val="2"/>
      </rPr>
      <t>MiB part 1: Deterministic Nonlinear Dynamics</t>
    </r>
  </si>
  <si>
    <r>
      <rPr>
        <sz val="10"/>
        <rFont val="Arial MT"/>
        <family val="2"/>
      </rPr>
      <t>MIB part 2: Stochastic Processes and Networks</t>
    </r>
  </si>
  <si>
    <r>
      <rPr>
        <sz val="10"/>
        <rFont val="Arial MT"/>
        <family val="2"/>
      </rPr>
      <t>I-EXPLORE</t>
    </r>
  </si>
  <si>
    <r>
      <rPr>
        <sz val="10"/>
        <rFont val="Arial MT"/>
        <family val="2"/>
      </rPr>
      <t>I-Explore</t>
    </r>
  </si>
  <si>
    <r>
      <rPr>
        <sz val="10"/>
        <rFont val="Arial MT"/>
        <family val="2"/>
      </rPr>
      <t>Pass/Fail</t>
    </r>
  </si>
  <si>
    <r>
      <rPr>
        <sz val="10"/>
        <rFont val="Arial MT"/>
        <family val="2"/>
      </rPr>
      <t>Set by I-Explore</t>
    </r>
  </si>
  <si>
    <r>
      <rPr>
        <sz val="10"/>
        <rFont val="Arial MT"/>
        <family val="2"/>
      </rPr>
      <t>BIOE60002</t>
    </r>
  </si>
  <si>
    <r>
      <rPr>
        <sz val="10"/>
        <rFont val="Arial MT"/>
        <family val="2"/>
      </rPr>
      <t>Biomedical Advanced and Computational Stress Analysis</t>
    </r>
  </si>
  <si>
    <r>
      <rPr>
        <sz val="10"/>
        <rFont val="Arial MT"/>
        <family val="2"/>
      </rPr>
      <t>Technical drawing coursework</t>
    </r>
  </si>
  <si>
    <r>
      <rPr>
        <sz val="10"/>
        <rFont val="Arial MT"/>
        <family val="2"/>
      </rPr>
      <t>FEA coursework</t>
    </r>
  </si>
  <si>
    <r>
      <rPr>
        <sz val="10"/>
        <rFont val="Arial MT"/>
        <family val="2"/>
      </rPr>
      <t>Technical report - stress analysis of a part or assembly</t>
    </r>
  </si>
  <si>
    <r>
      <rPr>
        <sz val="10"/>
        <rFont val="Arial MT"/>
        <family val="2"/>
      </rPr>
      <t>BIOE60003</t>
    </r>
  </si>
  <si>
    <r>
      <rPr>
        <sz val="10"/>
        <rFont val="Arial MT"/>
        <family val="2"/>
      </rPr>
      <t>Biomedical Instrumentation</t>
    </r>
  </si>
  <si>
    <r>
      <rPr>
        <sz val="10"/>
        <rFont val="Arial MT"/>
        <family val="2"/>
      </rPr>
      <t>Impedometric respirometer lab report</t>
    </r>
  </si>
  <si>
    <r>
      <rPr>
        <sz val="10"/>
        <rFont val="Arial MT"/>
        <family val="2"/>
      </rPr>
      <t>BIOE60006</t>
    </r>
  </si>
  <si>
    <r>
      <rPr>
        <sz val="10"/>
        <rFont val="Arial MT"/>
        <family val="2"/>
      </rPr>
      <t>Digital Biosignal Processing</t>
    </r>
  </si>
  <si>
    <r>
      <rPr>
        <sz val="10"/>
        <rFont val="Arial MT"/>
        <family val="2"/>
      </rPr>
      <t>Lab exercises report 1</t>
    </r>
  </si>
  <si>
    <r>
      <rPr>
        <sz val="10"/>
        <rFont val="Arial MT"/>
        <family val="2"/>
      </rPr>
      <t>Lab exercises report 2</t>
    </r>
  </si>
  <si>
    <r>
      <rPr>
        <sz val="10"/>
        <rFont val="Arial MT"/>
        <family val="2"/>
      </rPr>
      <t>Lab exercises report 3</t>
    </r>
  </si>
  <si>
    <r>
      <rPr>
        <sz val="10"/>
        <rFont val="Arial MT"/>
        <family val="2"/>
      </rPr>
      <t>BIOE60008</t>
    </r>
  </si>
  <si>
    <r>
      <rPr>
        <sz val="10"/>
        <rFont val="Arial MT"/>
        <family val="2"/>
      </rPr>
      <t>Image Processing</t>
    </r>
  </si>
  <si>
    <r>
      <rPr>
        <sz val="10"/>
        <rFont val="Arial MT"/>
        <family val="2"/>
      </rPr>
      <t>BIOE60009</t>
    </r>
  </si>
  <si>
    <r>
      <rPr>
        <sz val="10"/>
        <rFont val="Arial MT"/>
        <family val="2"/>
      </rPr>
      <t>Physiological Fluid Mechanics</t>
    </r>
  </si>
  <si>
    <r>
      <rPr>
        <sz val="10"/>
        <rFont val="Arial MT"/>
        <family val="2"/>
      </rPr>
      <t>Problem sheet 1</t>
    </r>
  </si>
  <si>
    <r>
      <rPr>
        <sz val="10"/>
        <rFont val="Arial MT"/>
        <family val="2"/>
      </rPr>
      <t>Problem sheet 2</t>
    </r>
  </si>
  <si>
    <r>
      <rPr>
        <sz val="10"/>
        <rFont val="Arial MT"/>
        <family val="2"/>
      </rPr>
      <t>BIOE60010</t>
    </r>
  </si>
  <si>
    <r>
      <rPr>
        <sz val="10"/>
        <rFont val="Arial MT"/>
        <family val="2"/>
      </rPr>
      <t>Software Engineering for Bioengineers</t>
    </r>
  </si>
  <si>
    <r>
      <rPr>
        <sz val="10"/>
        <rFont val="Arial MT"/>
        <family val="2"/>
      </rPr>
      <t>Project report</t>
    </r>
  </si>
  <si>
    <r>
      <rPr>
        <sz val="10"/>
        <rFont val="Arial MT"/>
        <family val="2"/>
      </rPr>
      <t>Programming test</t>
    </r>
  </si>
  <si>
    <r>
      <rPr>
        <sz val="10"/>
        <rFont val="Arial MT"/>
        <family val="2"/>
      </rPr>
      <t>Planning presentation</t>
    </r>
  </si>
  <si>
    <r>
      <rPr>
        <sz val="10"/>
        <rFont val="Arial MT"/>
        <family val="2"/>
      </rPr>
      <t>BIOE60014</t>
    </r>
  </si>
  <si>
    <r>
      <rPr>
        <sz val="10"/>
        <rFont val="Arial MT"/>
        <family val="2"/>
      </rPr>
      <t>Biomechanics</t>
    </r>
  </si>
  <si>
    <r>
      <rPr>
        <sz val="10"/>
        <rFont val="Arial MT"/>
        <family val="2"/>
      </rPr>
      <t>Coursework 1</t>
    </r>
  </si>
  <si>
    <r>
      <rPr>
        <sz val="10"/>
        <rFont val="Arial MT"/>
        <family val="2"/>
      </rPr>
      <t>Coursework 2</t>
    </r>
  </si>
  <si>
    <r>
      <rPr>
        <sz val="10"/>
        <rFont val="Arial MT"/>
        <family val="2"/>
      </rPr>
      <t>BIOE60034</t>
    </r>
  </si>
  <si>
    <r>
      <rPr>
        <sz val="10"/>
        <rFont val="Arial MT"/>
        <family val="2"/>
      </rPr>
      <t>Biomaterials for Bioengineers</t>
    </r>
  </si>
  <si>
    <r>
      <rPr>
        <sz val="10"/>
        <rFont val="Arial MT"/>
        <family val="2"/>
      </rPr>
      <t>Multiple choice quiz</t>
    </r>
  </si>
  <si>
    <r>
      <rPr>
        <sz val="10"/>
        <rFont val="Arial MT"/>
        <family val="2"/>
      </rPr>
      <t>BIOE60007</t>
    </r>
  </si>
  <si>
    <r>
      <rPr>
        <sz val="10"/>
        <rFont val="Arial MT"/>
        <family val="2"/>
      </rPr>
      <t>Human Centred Design of Assistive and Rehabilitation Devices</t>
    </r>
  </si>
  <si>
    <r>
      <rPr>
        <sz val="10"/>
        <rFont val="Arial MT"/>
        <family val="2"/>
      </rPr>
      <t>Oral exam</t>
    </r>
  </si>
  <si>
    <r>
      <rPr>
        <sz val="10"/>
        <rFont val="Arial MT"/>
        <family val="2"/>
      </rPr>
      <t>Individual report on design idea</t>
    </r>
  </si>
  <si>
    <r>
      <rPr>
        <sz val="10"/>
        <rFont val="Arial MT"/>
        <family val="2"/>
      </rPr>
      <t>Individual report on one lecture</t>
    </r>
  </si>
  <si>
    <r>
      <rPr>
        <sz val="10"/>
        <rFont val="Arial MT"/>
        <family val="2"/>
      </rPr>
      <t>Competition</t>
    </r>
  </si>
  <si>
    <r>
      <rPr>
        <sz val="10"/>
        <rFont val="Arial MT"/>
        <family val="2"/>
      </rPr>
      <t>Group report</t>
    </r>
  </si>
  <si>
    <r>
      <rPr>
        <sz val="10"/>
        <rFont val="Arial MT"/>
        <family val="2"/>
      </rPr>
      <t>BIOE60012</t>
    </r>
  </si>
  <si>
    <r>
      <rPr>
        <sz val="10"/>
        <rFont val="Arial MT"/>
        <family val="2"/>
      </rPr>
      <t>Foundations of Synthetic Biology</t>
    </r>
  </si>
  <si>
    <r>
      <rPr>
        <sz val="10"/>
        <rFont val="Arial MT"/>
        <family val="2"/>
      </rPr>
      <t>Experimental lab report</t>
    </r>
  </si>
  <si>
    <r>
      <rPr>
        <sz val="10"/>
        <rFont val="Arial MT"/>
        <family val="2"/>
      </rPr>
      <t>BIOE60013</t>
    </r>
  </si>
  <si>
    <r>
      <rPr>
        <sz val="10"/>
        <rFont val="Arial MT"/>
        <family val="2"/>
      </rPr>
      <t>Tissue Engineering and Regenerative Medicine</t>
    </r>
  </si>
  <si>
    <r>
      <rPr>
        <sz val="10"/>
        <rFont val="Arial MT"/>
        <family val="2"/>
      </rPr>
      <t>Poster</t>
    </r>
  </si>
  <si>
    <r>
      <rPr>
        <sz val="10"/>
        <rFont val="Arial MT"/>
        <family val="2"/>
      </rPr>
      <t>Poster coursework</t>
    </r>
  </si>
  <si>
    <r>
      <rPr>
        <sz val="10"/>
        <rFont val="Arial MT"/>
        <family val="2"/>
      </rPr>
      <t>BIOE70076</t>
    </r>
  </si>
  <si>
    <r>
      <rPr>
        <sz val="10"/>
        <rFont val="Arial MT"/>
        <family val="2"/>
      </rPr>
      <t>Communicating Biomedical Science and Engineering</t>
    </r>
  </si>
  <si>
    <r>
      <rPr>
        <sz val="10"/>
        <rFont val="Arial MT"/>
        <family val="2"/>
      </rPr>
      <t>Teaching activity report</t>
    </r>
  </si>
  <si>
    <r>
      <rPr>
        <sz val="10"/>
        <rFont val="Arial MT"/>
        <family val="2"/>
      </rPr>
      <t>Teacher's evaluation</t>
    </r>
  </si>
  <si>
    <r>
      <rPr>
        <sz val="10"/>
        <rFont val="Arial MT"/>
        <family val="2"/>
      </rPr>
      <t>Summary presentation</t>
    </r>
  </si>
  <si>
    <r>
      <rPr>
        <sz val="10"/>
        <rFont val="Arial MT"/>
        <family val="2"/>
      </rPr>
      <t>Reflective logbook</t>
    </r>
  </si>
  <si>
    <r>
      <rPr>
        <sz val="10"/>
        <rFont val="Arial MT"/>
        <family val="2"/>
      </rPr>
      <t>BIOE70012</t>
    </r>
  </si>
  <si>
    <r>
      <rPr>
        <sz val="10"/>
        <rFont val="Arial MT"/>
        <family val="2"/>
      </rPr>
      <t>Biomimetics</t>
    </r>
  </si>
  <si>
    <r>
      <rPr>
        <sz val="10"/>
        <rFont val="Arial MT"/>
        <family val="2"/>
      </rPr>
      <t>Journal club</t>
    </r>
  </si>
  <si>
    <r>
      <rPr>
        <sz val="10"/>
        <rFont val="Arial MT"/>
        <family val="2"/>
      </rPr>
      <t>Group poster &amp; proposal</t>
    </r>
  </si>
  <si>
    <r>
      <rPr>
        <sz val="10"/>
        <rFont val="Arial MT"/>
        <family val="2"/>
      </rPr>
      <t>COMP60005</t>
    </r>
  </si>
  <si>
    <r>
      <rPr>
        <sz val="10"/>
        <rFont val="Arial MT"/>
        <family val="2"/>
      </rPr>
      <t>Graphics</t>
    </r>
  </si>
  <si>
    <r>
      <rPr>
        <sz val="10"/>
        <rFont val="Arial MT"/>
        <family val="2"/>
      </rPr>
      <t>Set by DoC</t>
    </r>
  </si>
  <si>
    <r>
      <rPr>
        <sz val="10"/>
        <rFont val="Arial MT"/>
        <family val="2"/>
      </rPr>
      <t>ELEC60002</t>
    </r>
  </si>
  <si>
    <r>
      <rPr>
        <sz val="10"/>
        <rFont val="Arial MT"/>
        <family val="2"/>
      </rPr>
      <t>Statistical Signal Processing and Inference</t>
    </r>
  </si>
  <si>
    <r>
      <rPr>
        <sz val="10"/>
        <rFont val="Arial MT"/>
        <family val="2"/>
      </rPr>
      <t>Set by EEE</t>
    </r>
  </si>
  <si>
    <r>
      <rPr>
        <sz val="10"/>
        <rFont val="Arial MT"/>
        <family val="2"/>
      </rPr>
      <t>ELEC60004</t>
    </r>
  </si>
  <si>
    <r>
      <rPr>
        <sz val="10"/>
        <rFont val="Arial MT"/>
        <family val="2"/>
      </rPr>
      <t>Machine Reasoning</t>
    </r>
  </si>
  <si>
    <r>
      <rPr>
        <sz val="10"/>
        <rFont val="Arial MT"/>
        <family val="2"/>
      </rPr>
      <t>ELEC60008</t>
    </r>
  </si>
  <si>
    <r>
      <rPr>
        <sz val="10"/>
        <rFont val="Arial MT"/>
        <family val="2"/>
      </rPr>
      <t>Control Engineering</t>
    </r>
  </si>
  <si>
    <r>
      <rPr>
        <sz val="10"/>
        <rFont val="Arial MT"/>
        <family val="2"/>
      </rPr>
      <t>ELEC60023</t>
    </r>
  </si>
  <si>
    <r>
      <rPr>
        <sz val="10"/>
        <rFont val="Arial MT"/>
        <family val="2"/>
      </rPr>
      <t>Optoelectronics</t>
    </r>
  </si>
  <si>
    <r>
      <rPr>
        <sz val="10"/>
        <rFont val="Arial MT"/>
        <family val="2"/>
      </rPr>
      <t>ELEC60029</t>
    </r>
  </si>
  <si>
    <r>
      <rPr>
        <sz val="10"/>
        <rFont val="Arial MT"/>
        <family val="2"/>
      </rPr>
      <t>Semiconductor Devices</t>
    </r>
  </si>
  <si>
    <r>
      <rPr>
        <sz val="10"/>
        <rFont val="Arial MT"/>
        <family val="2"/>
      </rPr>
      <t>MECH60001</t>
    </r>
  </si>
  <si>
    <r>
      <rPr>
        <sz val="10"/>
        <rFont val="Arial MT"/>
        <family val="2"/>
      </rPr>
      <t>Machine Dynamics and Vibrations</t>
    </r>
  </si>
  <si>
    <r>
      <rPr>
        <sz val="10"/>
        <rFont val="Arial MT"/>
        <family val="2"/>
      </rPr>
      <t>Set by Mech Eng</t>
    </r>
  </si>
  <si>
    <r>
      <rPr>
        <sz val="10"/>
        <rFont val="Arial MT"/>
        <family val="2"/>
      </rPr>
      <t>MECH60008</t>
    </r>
  </si>
  <si>
    <r>
      <rPr>
        <sz val="10"/>
        <rFont val="Arial MT"/>
        <family val="2"/>
      </rPr>
      <t>Computational Continuum Mechanics</t>
    </r>
  </si>
  <si>
    <r>
      <rPr>
        <sz val="10"/>
        <rFont val="Arial MT"/>
        <family val="2"/>
      </rPr>
      <t>MECH60019</t>
    </r>
  </si>
  <si>
    <r>
      <rPr>
        <sz val="10"/>
        <rFont val="Arial MT"/>
        <family val="2"/>
      </rPr>
      <t>Tribology</t>
    </r>
  </si>
  <si>
    <t>Technical Elective Modules</t>
  </si>
  <si>
    <t>Non-technical Elective Modules</t>
  </si>
  <si>
    <r>
      <rPr>
        <sz val="10"/>
        <rFont val="Arial MT"/>
        <family val="2"/>
      </rPr>
      <t>BIOE70057</t>
    </r>
  </si>
  <si>
    <r>
      <rPr>
        <sz val="10"/>
        <rFont val="Arial MT"/>
        <family val="2"/>
      </rPr>
      <t>MEng Molecular Bioengineering Individual Project</t>
    </r>
  </si>
  <si>
    <r>
      <rPr>
        <sz val="10"/>
        <rFont val="Arial MT"/>
        <family val="2"/>
      </rPr>
      <t>Planning report</t>
    </r>
  </si>
  <si>
    <r>
      <rPr>
        <sz val="10"/>
        <rFont val="Arial MT"/>
        <family val="2"/>
      </rPr>
      <t>Oral presentation</t>
    </r>
  </si>
  <si>
    <r>
      <rPr>
        <sz val="10"/>
        <rFont val="Arial MT"/>
        <family val="2"/>
      </rPr>
      <t>BIOE60015</t>
    </r>
  </si>
  <si>
    <r>
      <rPr>
        <sz val="10"/>
        <rFont val="Arial MT"/>
        <family val="2"/>
      </rPr>
      <t>Advanced Imaging Technologies for Systems Biology</t>
    </r>
  </si>
  <si>
    <t>Planning report</t>
  </si>
  <si>
    <t>Oral resentation</t>
  </si>
  <si>
    <r>
      <rPr>
        <sz val="10"/>
        <rFont val="Arial MT"/>
        <family val="2"/>
      </rPr>
      <t>BIOE70003</t>
    </r>
  </si>
  <si>
    <r>
      <rPr>
        <sz val="10"/>
        <rFont val="Arial MT"/>
        <family val="2"/>
      </rPr>
      <t>Animal Locomotion and Bioinspired Robots</t>
    </r>
  </si>
  <si>
    <r>
      <rPr>
        <sz val="10"/>
        <rFont val="Arial MT"/>
        <family val="2"/>
      </rPr>
      <t>PDW simulation problem set</t>
    </r>
  </si>
  <si>
    <r>
      <rPr>
        <sz val="10"/>
        <rFont val="Arial MT"/>
        <family val="2"/>
      </rPr>
      <t>PDW Journal club</t>
    </r>
  </si>
  <si>
    <r>
      <rPr>
        <sz val="10"/>
        <rFont val="Arial MT"/>
        <family val="2"/>
      </rPr>
      <t>Motor tuning report</t>
    </r>
  </si>
  <si>
    <r>
      <rPr>
        <sz val="10"/>
        <rFont val="Arial MT"/>
        <family val="2"/>
      </rPr>
      <t>Visual guidance report</t>
    </r>
  </si>
  <si>
    <r>
      <rPr>
        <sz val="10"/>
        <rFont val="Arial MT"/>
        <family val="2"/>
      </rPr>
      <t>Target tracking group report</t>
    </r>
  </si>
  <si>
    <r>
      <rPr>
        <sz val="10"/>
        <rFont val="Arial MT"/>
        <family val="2"/>
      </rPr>
      <t>PDW group report + PDW tuning map &amp; performance</t>
    </r>
  </si>
  <si>
    <r>
      <rPr>
        <sz val="10"/>
        <rFont val="Arial MT"/>
        <family val="2"/>
      </rPr>
      <t>Obstacle avoidance</t>
    </r>
  </si>
  <si>
    <r>
      <rPr>
        <sz val="10"/>
        <rFont val="Arial MT"/>
        <family val="2"/>
      </rPr>
      <t>RoboRace</t>
    </r>
  </si>
  <si>
    <r>
      <rPr>
        <sz val="10"/>
        <rFont val="Arial MT"/>
        <family val="2"/>
      </rPr>
      <t>BIOE70007</t>
    </r>
  </si>
  <si>
    <r>
      <rPr>
        <sz val="10"/>
        <rFont val="Arial MT"/>
        <family val="2"/>
      </rPr>
      <t>Advanced Synthetic Biology</t>
    </r>
  </si>
  <si>
    <r>
      <rPr>
        <sz val="10"/>
        <rFont val="Arial MT"/>
        <family val="2"/>
      </rPr>
      <t>Mini-IGEM presentation</t>
    </r>
  </si>
  <si>
    <r>
      <rPr>
        <sz val="10"/>
        <rFont val="Arial MT"/>
        <family val="2"/>
      </rPr>
      <t>Mini-iGEM Project - Poster and parts list</t>
    </r>
  </si>
  <si>
    <r>
      <rPr>
        <sz val="10"/>
        <rFont val="Arial MT"/>
        <family val="2"/>
      </rPr>
      <t>Computer modelling</t>
    </r>
  </si>
  <si>
    <r>
      <rPr>
        <sz val="10"/>
        <rFont val="Arial MT"/>
        <family val="2"/>
      </rPr>
      <t>Post note exercise</t>
    </r>
  </si>
  <si>
    <r>
      <rPr>
        <sz val="10"/>
        <rFont val="Arial MT"/>
        <family val="2"/>
      </rPr>
      <t>BIOE70008</t>
    </r>
  </si>
  <si>
    <r>
      <rPr>
        <sz val="10"/>
        <rFont val="Arial MT"/>
        <family val="2"/>
      </rPr>
      <t>Advanced Physiological Monitoring and Data Analysis</t>
    </r>
  </si>
  <si>
    <r>
      <rPr>
        <sz val="10"/>
        <rFont val="Arial MT"/>
        <family val="2"/>
      </rPr>
      <t>BIOE70010</t>
    </r>
  </si>
  <si>
    <r>
      <rPr>
        <sz val="10"/>
        <rFont val="Arial MT"/>
        <family val="2"/>
      </rPr>
      <t>Principles of Biomedical Imaging</t>
    </r>
  </si>
  <si>
    <r>
      <rPr>
        <sz val="10"/>
        <rFont val="Arial MT"/>
        <family val="2"/>
      </rPr>
      <t>BIOE70020</t>
    </r>
  </si>
  <si>
    <r>
      <rPr>
        <sz val="10"/>
        <rFont val="Arial MT"/>
        <family val="2"/>
      </rPr>
      <t>Neuroscience</t>
    </r>
  </si>
  <si>
    <r>
      <rPr>
        <sz val="10"/>
        <rFont val="Arial MT"/>
        <family val="2"/>
      </rPr>
      <t>BIOE70056</t>
    </r>
  </si>
  <si>
    <r>
      <rPr>
        <sz val="10"/>
        <rFont val="Arial MT"/>
        <family val="2"/>
      </rPr>
      <t>Biomaterials for Biomedicine and Sustainability</t>
    </r>
  </si>
  <si>
    <r>
      <rPr>
        <sz val="10"/>
        <rFont val="Arial MT"/>
        <family val="2"/>
      </rPr>
      <t>BIOE70149</t>
    </r>
  </si>
  <si>
    <r>
      <rPr>
        <sz val="10"/>
        <rFont val="Arial MT"/>
        <family val="2"/>
      </rPr>
      <t>Nanotechnologies for cancer diagnosis and cancer therapy</t>
    </r>
  </si>
  <si>
    <r>
      <rPr>
        <sz val="10"/>
        <rFont val="Arial MT"/>
        <family val="2"/>
      </rPr>
      <t>Research project</t>
    </r>
  </si>
  <si>
    <r>
      <rPr>
        <sz val="10"/>
        <rFont val="Arial MT"/>
        <family val="2"/>
      </rPr>
      <t>BIOE70005</t>
    </r>
  </si>
  <si>
    <r>
      <rPr>
        <sz val="10"/>
        <rFont val="Arial MT"/>
        <family val="2"/>
      </rPr>
      <t>Cellular and Molecular Mechanotransduction</t>
    </r>
  </si>
  <si>
    <r>
      <rPr>
        <sz val="10"/>
        <rFont val="Arial MT"/>
        <family val="2"/>
      </rPr>
      <t>Assessing cytoskeleton</t>
    </r>
  </si>
  <si>
    <r>
      <rPr>
        <sz val="10"/>
        <rFont val="Arial MT"/>
        <family val="2"/>
      </rPr>
      <t>BIOE70035</t>
    </r>
  </si>
  <si>
    <r>
      <rPr>
        <sz val="10"/>
        <rFont val="Arial MT"/>
        <family val="2"/>
      </rPr>
      <t>Non-Ionising Functional and Tissue Imaging</t>
    </r>
  </si>
  <si>
    <r>
      <rPr>
        <sz val="10"/>
        <rFont val="Arial MT"/>
        <family val="2"/>
      </rPr>
      <t>BIOE70049</t>
    </r>
  </si>
  <si>
    <r>
      <rPr>
        <sz val="10"/>
        <rFont val="Arial MT"/>
        <family val="2"/>
      </rPr>
      <t>Bioengineering Approaches to Cancer</t>
    </r>
  </si>
  <si>
    <r>
      <rPr>
        <sz val="10"/>
        <rFont val="Arial MT"/>
        <family val="2"/>
      </rPr>
      <t>Cancer research &amp; oncology seminars</t>
    </r>
  </si>
  <si>
    <r>
      <rPr>
        <sz val="10"/>
        <rFont val="Arial MT"/>
        <family val="2"/>
      </rPr>
      <t>BIOE70077</t>
    </r>
  </si>
  <si>
    <r>
      <rPr>
        <sz val="10"/>
        <rFont val="Arial MT"/>
        <family val="2"/>
      </rPr>
      <t>Reinforcement Learning for Bioengineers</t>
    </r>
  </si>
  <si>
    <r>
      <rPr>
        <sz val="10"/>
        <rFont val="Arial MT"/>
        <family val="2"/>
      </rPr>
      <t>BIOE70150</t>
    </r>
  </si>
  <si>
    <r>
      <rPr>
        <sz val="10"/>
        <rFont val="Arial MT"/>
        <family val="2"/>
      </rPr>
      <t>Artificial Intelligence for Drug Discovery</t>
    </r>
  </si>
  <si>
    <r>
      <rPr>
        <sz val="10"/>
        <rFont val="Arial MT"/>
        <family val="2"/>
      </rPr>
      <t>ELEC70024</t>
    </r>
  </si>
  <si>
    <r>
      <rPr>
        <sz val="10"/>
        <rFont val="Arial MT"/>
        <family val="2"/>
      </rPr>
      <t>Optimisation</t>
    </r>
  </si>
  <si>
    <r>
      <rPr>
        <sz val="10"/>
        <rFont val="Arial MT"/>
        <family val="2"/>
      </rPr>
      <t>BIOE70014</t>
    </r>
  </si>
  <si>
    <r>
      <rPr>
        <sz val="10"/>
        <rFont val="Arial MT"/>
        <family val="2"/>
      </rPr>
      <t>Medical Device Entrepreneurship L7</t>
    </r>
  </si>
  <si>
    <r>
      <rPr>
        <sz val="10"/>
        <rFont val="Arial MT"/>
        <family val="2"/>
      </rPr>
      <t>Module report</t>
    </r>
  </si>
  <si>
    <r>
      <rPr>
        <sz val="10"/>
        <rFont val="Arial MT"/>
        <family val="2"/>
      </rPr>
      <t>BIOE70028</t>
    </r>
  </si>
  <si>
    <r>
      <rPr>
        <sz val="10"/>
        <rFont val="Arial MT"/>
        <family val="2"/>
      </rPr>
      <t>Medical Device Certification PG</t>
    </r>
  </si>
  <si>
    <r>
      <rPr>
        <sz val="10"/>
        <rFont val="Arial MT"/>
        <family val="2"/>
      </rPr>
      <t>Risk Management section</t>
    </r>
  </si>
  <si>
    <r>
      <rPr>
        <sz val="10"/>
        <rFont val="Arial MT"/>
        <family val="2"/>
      </rPr>
      <t>System Specification</t>
    </r>
  </si>
  <si>
    <r>
      <rPr>
        <sz val="10"/>
        <rFont val="Arial MT"/>
        <family val="2"/>
      </rPr>
      <t>Technical file</t>
    </r>
  </si>
  <si>
    <r>
      <rPr>
        <sz val="10"/>
        <rFont val="Arial MT"/>
        <family val="2"/>
      </rPr>
      <t>BUSI60022</t>
    </r>
  </si>
  <si>
    <r>
      <rPr>
        <sz val="10"/>
        <rFont val="Arial MT"/>
        <family val="2"/>
      </rPr>
      <t>Leading Teams &amp; Organisations</t>
    </r>
  </si>
  <si>
    <r>
      <rPr>
        <sz val="10"/>
        <rFont val="Arial MT"/>
        <family val="2"/>
      </rPr>
      <t>Set by BPES</t>
    </r>
  </si>
  <si>
    <r>
      <rPr>
        <sz val="10"/>
        <rFont val="Arial MT"/>
        <family val="2"/>
      </rPr>
      <t>BUSI60041</t>
    </r>
  </si>
  <si>
    <r>
      <rPr>
        <sz val="10"/>
        <rFont val="Arial MT"/>
        <family val="2"/>
      </rPr>
      <t>Entrepreneurship</t>
    </r>
  </si>
  <si>
    <r>
      <rPr>
        <sz val="10"/>
        <rFont val="Arial MT"/>
        <family val="2"/>
      </rPr>
      <t>BUSI60038</t>
    </r>
  </si>
  <si>
    <r>
      <rPr>
        <sz val="10"/>
        <rFont val="Arial MT"/>
        <family val="2"/>
      </rPr>
      <t>BUSI60046</t>
    </r>
  </si>
  <si>
    <r>
      <rPr>
        <sz val="10"/>
        <rFont val="Arial MT"/>
        <family val="2"/>
      </rPr>
      <t>Project Management</t>
    </r>
  </si>
  <si>
    <r>
      <rPr>
        <sz val="10"/>
        <rFont val="Arial MT"/>
        <family val="2"/>
      </rPr>
      <t>BUSI60039</t>
    </r>
  </si>
  <si>
    <r>
      <rPr>
        <sz val="10"/>
        <rFont val="Arial MT"/>
        <family val="2"/>
      </rPr>
      <t>Business Strategy</t>
    </r>
  </si>
  <si>
    <r>
      <rPr>
        <sz val="10"/>
        <rFont val="Arial MT"/>
        <family val="2"/>
      </rPr>
      <t>Medical Device Entrepreneurship</t>
    </r>
  </si>
  <si>
    <r>
      <rPr>
        <sz val="10"/>
        <rFont val="Arial MT"/>
        <family val="2"/>
      </rPr>
      <t>Medical Device Certification</t>
    </r>
  </si>
  <si>
    <r>
      <rPr>
        <sz val="10"/>
        <rFont val="Arial MT"/>
        <family val="2"/>
      </rPr>
      <t>Risk Analysis</t>
    </r>
  </si>
  <si>
    <r>
      <rPr>
        <sz val="10"/>
        <rFont val="Arial MT"/>
        <family val="2"/>
      </rPr>
      <t>Specification</t>
    </r>
  </si>
  <si>
    <r>
      <rPr>
        <sz val="10"/>
        <rFont val="Arial MT"/>
        <family val="2"/>
      </rPr>
      <t>Group technical file</t>
    </r>
  </si>
  <si>
    <r>
      <rPr>
        <sz val="10"/>
        <rFont val="Arial MT"/>
        <family val="2"/>
      </rPr>
      <t>BUSI60037</t>
    </r>
  </si>
  <si>
    <r>
      <rPr>
        <sz val="10"/>
        <rFont val="Arial MT"/>
        <family val="2"/>
      </rPr>
      <t>Accounting Online</t>
    </r>
  </si>
  <si>
    <r>
      <rPr>
        <sz val="10"/>
        <rFont val="Arial MT"/>
        <family val="2"/>
      </rPr>
      <t>BIOE70030</t>
    </r>
  </si>
  <si>
    <r>
      <rPr>
        <sz val="10"/>
        <rFont val="Arial MT"/>
        <family val="2"/>
      </rPr>
      <t>Essay</t>
    </r>
  </si>
  <si>
    <r>
      <rPr>
        <sz val="10"/>
        <rFont val="Arial MT"/>
        <family val="2"/>
      </rPr>
      <t>Group poster</t>
    </r>
  </si>
  <si>
    <r>
      <rPr>
        <sz val="10"/>
        <rFont val="Arial MT"/>
        <family val="2"/>
      </rPr>
      <t>BIOE70001</t>
    </r>
  </si>
  <si>
    <r>
      <rPr>
        <sz val="10"/>
        <rFont val="Arial MT"/>
        <family val="2"/>
      </rPr>
      <t>Application Specific Integrated Circuits for Bioengineers</t>
    </r>
  </si>
  <si>
    <r>
      <rPr>
        <sz val="10"/>
        <rFont val="Arial MT"/>
        <family val="2"/>
      </rPr>
      <t>Block Simulation Coursework</t>
    </r>
  </si>
  <si>
    <r>
      <rPr>
        <sz val="10"/>
        <rFont val="Arial MT"/>
        <family val="2"/>
      </rPr>
      <t>IC Block Layout Coursework</t>
    </r>
  </si>
  <si>
    <r>
      <rPr>
        <sz val="10"/>
        <rFont val="Arial MT"/>
        <family val="2"/>
      </rPr>
      <t>BIOE70004</t>
    </r>
  </si>
  <si>
    <r>
      <rPr>
        <sz val="10"/>
        <rFont val="Arial MT"/>
        <family val="2"/>
      </rPr>
      <t>MEng Biomedical Engineering Individual Project</t>
    </r>
  </si>
  <si>
    <r>
      <rPr>
        <sz val="10"/>
        <rFont val="Arial MT"/>
        <family val="2"/>
      </rPr>
      <t>MECH70050</t>
    </r>
  </si>
  <si>
    <r>
      <rPr>
        <sz val="10"/>
        <rFont val="Arial MT"/>
        <family val="2"/>
      </rPr>
      <t>MECH70044</t>
    </r>
  </si>
  <si>
    <r>
      <rPr>
        <sz val="10"/>
        <rFont val="Arial MT"/>
        <family val="2"/>
      </rPr>
      <t>COMP70090</t>
    </r>
  </si>
  <si>
    <r>
      <rPr>
        <sz val="10"/>
        <rFont val="Arial MT"/>
        <family val="2"/>
      </rPr>
      <t>DESE71020</t>
    </r>
  </si>
  <si>
    <r>
      <rPr>
        <sz val="10"/>
        <rFont val="Arial MT"/>
        <family val="2"/>
      </rPr>
      <t>Design for Additive Manufacturing</t>
    </r>
  </si>
  <si>
    <r>
      <rPr>
        <sz val="10"/>
        <rFont val="Arial MT"/>
        <family val="2"/>
      </rPr>
      <t>ELEC70001</t>
    </r>
  </si>
  <si>
    <r>
      <rPr>
        <sz val="10"/>
        <rFont val="Arial MT"/>
        <family val="2"/>
      </rPr>
      <t>Adaptive Signal Processing and Machine Intelligence</t>
    </r>
  </si>
  <si>
    <r>
      <rPr>
        <sz val="10"/>
        <rFont val="Arial MT"/>
        <family val="2"/>
      </rPr>
      <t>ELEC70003</t>
    </r>
  </si>
  <si>
    <r>
      <rPr>
        <sz val="10"/>
        <rFont val="Arial MT"/>
        <family val="2"/>
      </rPr>
      <t>Advanced Electronic Devices</t>
    </r>
  </si>
  <si>
    <r>
      <rPr>
        <sz val="10"/>
        <rFont val="Arial MT"/>
        <family val="2"/>
      </rPr>
      <t>ELEC70004</t>
    </r>
  </si>
  <si>
    <r>
      <rPr>
        <sz val="10"/>
        <rFont val="Arial MT"/>
        <family val="2"/>
      </rPr>
      <t>Analogue Signal Processing</t>
    </r>
  </si>
  <si>
    <r>
      <rPr>
        <sz val="10"/>
        <rFont val="Arial MT"/>
        <family val="2"/>
      </rPr>
      <t>ELEC70013</t>
    </r>
  </si>
  <si>
    <r>
      <rPr>
        <sz val="10"/>
        <rFont val="Arial MT"/>
        <family val="2"/>
      </rPr>
      <t>High Performance Analogue Electronics</t>
    </r>
  </si>
  <si>
    <r>
      <rPr>
        <sz val="10"/>
        <rFont val="Arial MT"/>
        <family val="2"/>
      </rPr>
      <t>BIOE70011</t>
    </r>
  </si>
  <si>
    <r>
      <rPr>
        <sz val="10"/>
        <rFont val="Arial MT"/>
        <family val="2"/>
      </rPr>
      <t>Brain Machine Interfaces</t>
    </r>
  </si>
  <si>
    <r>
      <rPr>
        <sz val="10"/>
        <rFont val="Arial MT"/>
        <family val="2"/>
      </rPr>
      <t>BMI competition.</t>
    </r>
  </si>
  <si>
    <r>
      <rPr>
        <sz val="10"/>
        <rFont val="Arial MT"/>
        <family val="2"/>
      </rPr>
      <t>Poster &amp; proposal</t>
    </r>
  </si>
  <si>
    <r>
      <rPr>
        <sz val="10"/>
        <rFont val="Arial MT"/>
        <family val="2"/>
      </rPr>
      <t>BIOE70013</t>
    </r>
  </si>
  <si>
    <r>
      <rPr>
        <sz val="10"/>
        <rFont val="Arial MT"/>
        <family val="2"/>
      </rPr>
      <t>Computational Neuroscience</t>
    </r>
  </si>
  <si>
    <r>
      <rPr>
        <sz val="10"/>
        <rFont val="Arial MT"/>
        <family val="2"/>
      </rPr>
      <t>BIOE70016</t>
    </r>
  </si>
  <si>
    <r>
      <rPr>
        <sz val="10"/>
        <rFont val="Arial MT"/>
        <family val="2"/>
      </rPr>
      <t>Human Neuromechanical Control and Learning</t>
    </r>
  </si>
  <si>
    <r>
      <rPr>
        <sz val="10"/>
        <rFont val="Arial MT"/>
        <family val="2"/>
      </rPr>
      <t>Tutorial 1</t>
    </r>
  </si>
  <si>
    <r>
      <rPr>
        <sz val="10"/>
        <rFont val="Arial MT"/>
        <family val="2"/>
      </rPr>
      <t>Tutorial 2</t>
    </r>
  </si>
  <si>
    <r>
      <rPr>
        <sz val="10"/>
        <rFont val="Arial MT"/>
        <family val="2"/>
      </rPr>
      <t>Tutorial 3</t>
    </r>
  </si>
  <si>
    <r>
      <rPr>
        <sz val="10"/>
        <rFont val="Arial MT"/>
        <family val="2"/>
      </rPr>
      <t>Tutorial 4</t>
    </r>
  </si>
  <si>
    <r>
      <rPr>
        <sz val="10"/>
        <rFont val="Arial MT"/>
        <family val="2"/>
      </rPr>
      <t>Tutorial 5</t>
    </r>
  </si>
  <si>
    <r>
      <rPr>
        <sz val="10"/>
        <rFont val="Arial MT"/>
        <family val="2"/>
      </rPr>
      <t>ELEC70022</t>
    </r>
  </si>
  <si>
    <r>
      <rPr>
        <sz val="10"/>
        <rFont val="Arial MT"/>
        <family val="2"/>
      </rPr>
      <t>Modelling and Control of Multi-body Mechanical Systems</t>
    </r>
  </si>
  <si>
    <r>
      <rPr>
        <sz val="10"/>
        <rFont val="Arial MT"/>
        <family val="2"/>
      </rPr>
      <t>ELEC70031</t>
    </r>
  </si>
  <si>
    <r>
      <rPr>
        <sz val="10"/>
        <rFont val="Arial MT"/>
        <family val="2"/>
      </rPr>
      <t>Radio Frequency Electronics</t>
    </r>
  </si>
  <si>
    <r>
      <rPr>
        <sz val="10"/>
        <rFont val="Arial MT"/>
        <family val="2"/>
      </rPr>
      <t>ELEC70070</t>
    </r>
  </si>
  <si>
    <r>
      <rPr>
        <sz val="10"/>
        <rFont val="Arial MT"/>
        <family val="2"/>
      </rPr>
      <t>Information Theory</t>
    </r>
  </si>
  <si>
    <r>
      <rPr>
        <sz val="10"/>
        <rFont val="Arial MT"/>
        <family val="2"/>
      </rPr>
      <t>MECH70012</t>
    </r>
  </si>
  <si>
    <r>
      <rPr>
        <sz val="10"/>
        <rFont val="Arial MT"/>
        <family val="2"/>
      </rPr>
      <t>Finite Element Analysis and Applications</t>
    </r>
  </si>
  <si>
    <r>
      <rPr>
        <sz val="10"/>
        <rFont val="Arial MT"/>
        <family val="2"/>
      </rPr>
      <t>MECH70015</t>
    </r>
  </si>
  <si>
    <r>
      <rPr>
        <sz val="10"/>
        <rFont val="Arial MT"/>
        <family val="2"/>
      </rPr>
      <t>Computational Fluid Dynamics</t>
    </r>
  </si>
  <si>
    <r>
      <rPr>
        <sz val="10"/>
        <rFont val="Arial MT"/>
        <family val="2"/>
      </rPr>
      <t>MECH70024</t>
    </r>
  </si>
  <si>
    <r>
      <rPr>
        <sz val="10"/>
        <rFont val="Arial MT"/>
        <family val="2"/>
      </rPr>
      <t>BIOE70017</t>
    </r>
  </si>
  <si>
    <r>
      <rPr>
        <sz val="10"/>
        <rFont val="Arial MT"/>
        <family val="2"/>
      </rPr>
      <t>Molecular, Cellular and Tissue Biomechanics</t>
    </r>
  </si>
  <si>
    <r>
      <rPr>
        <sz val="10"/>
        <rFont val="Arial MT"/>
        <family val="2"/>
      </rPr>
      <t>Article analysis</t>
    </r>
  </si>
  <si>
    <r>
      <rPr>
        <sz val="10"/>
        <rFont val="Arial MT"/>
        <family val="2"/>
      </rPr>
      <t>MCTBM CW</t>
    </r>
  </si>
  <si>
    <r>
      <rPr>
        <sz val="10"/>
        <rFont val="Arial MT"/>
        <family val="2"/>
      </rPr>
      <t>BIOE70019</t>
    </r>
  </si>
  <si>
    <r>
      <rPr>
        <sz val="10"/>
        <rFont val="Arial MT"/>
        <family val="2"/>
      </rPr>
      <t>Orthopaedic Biomechanics</t>
    </r>
  </si>
  <si>
    <r>
      <rPr>
        <sz val="10"/>
        <rFont val="Arial MT"/>
        <family val="2"/>
      </rPr>
      <t>Problem sheet 3</t>
    </r>
  </si>
  <si>
    <r>
      <rPr>
        <sz val="10"/>
        <rFont val="Arial MT"/>
        <family val="2"/>
      </rPr>
      <t>Teacher</t>
    </r>
  </si>
  <si>
    <r>
      <rPr>
        <sz val="10"/>
        <rFont val="Arial MT"/>
        <family val="2"/>
      </rPr>
      <t>Reflective e-journal</t>
    </r>
  </si>
  <si>
    <r>
      <rPr>
        <sz val="10"/>
        <rFont val="Arial MT"/>
        <family val="2"/>
      </rPr>
      <t>BIOE70033</t>
    </r>
  </si>
  <si>
    <t>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</si>
</sst>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15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sz val="10"/>
      <name val="Arial"/>
    </font>
    <font>
      <sz val="10"/>
      <color rgb="FF000000"/>
      <name val="Times New Roman"/>
      <family val="1"/>
    </font>
    <font>
      <sz val="10"/>
      <name val="Arial MT"/>
    </font>
    <font>
      <sz val="10"/>
      <name val="Arial MT"/>
      <family val="2"/>
    </font>
    <font>
      <sz val="10"/>
      <color rgb="FF000000"/>
      <name val="Arial MT"/>
      <family val="2"/>
    </font>
    <font>
      <sz val="10"/>
      <name val="Arial"/>
      <family val="2"/>
      <scheme val="minor"/>
    </font>
    <font>
      <b/>
      <sz val="10"/>
      <color rgb="FF000000"/>
      <name val="Arial"/>
      <family val="2"/>
      <scheme val="minor"/>
    </font>
    <font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FFC8C8"/>
        <bgColor indexed="64"/>
      </patternFill>
    </fill>
    <fill>
      <patternFill patternType="solid">
        <fgColor rgb="FFD9D9D9"/>
        <bgColor indexed="64"/>
      </patternFill>
    </fill>
  </fills>
  <borders count="49"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</borders>
  <cellStyleXfs count="6">
    <xf numFmtId="0" fontId="0" fillId="0" borderId="0"/>
    <xf numFmtId="9" fontId="6" fillId="0" borderId="0" applyFont="0" applyFill="0" applyBorder="0" applyAlignment="0" applyProtection="0"/>
    <xf numFmtId="0" fontId="2" fillId="0" borderId="0"/>
    <xf numFmtId="0" fontId="7" fillId="0" borderId="0"/>
    <xf numFmtId="0" fontId="1" fillId="0" borderId="0"/>
    <xf numFmtId="0" fontId="8" fillId="0" borderId="0"/>
  </cellStyleXfs>
  <cellXfs count="386">
    <xf numFmtId="0" fontId="0" fillId="0" borderId="0" xfId="0"/>
    <xf numFmtId="0" fontId="3" fillId="0" borderId="6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0" fillId="0" borderId="0" xfId="0" applyAlignment="1">
      <alignment horizontal="left" vertical="top"/>
    </xf>
    <xf numFmtId="9" fontId="6" fillId="0" borderId="8" xfId="5" applyNumberFormat="1" applyFont="1" applyBorder="1" applyAlignment="1">
      <alignment horizontal="left" vertical="center" wrapText="1" shrinkToFit="1"/>
    </xf>
    <xf numFmtId="0" fontId="12" fillId="0" borderId="8" xfId="5" applyFont="1" applyBorder="1" applyAlignment="1">
      <alignment horizontal="left" vertical="center" wrapText="1"/>
    </xf>
    <xf numFmtId="2" fontId="6" fillId="0" borderId="8" xfId="0" applyNumberFormat="1" applyFont="1" applyBorder="1" applyAlignment="1">
      <alignment horizontal="left" vertical="center" wrapText="1"/>
    </xf>
    <xf numFmtId="2" fontId="6" fillId="3" borderId="8" xfId="0" applyNumberFormat="1" applyFont="1" applyFill="1" applyBorder="1" applyAlignment="1">
      <alignment horizontal="left" vertical="center" wrapText="1"/>
    </xf>
    <xf numFmtId="2" fontId="6" fillId="0" borderId="16" xfId="0" applyNumberFormat="1" applyFont="1" applyBorder="1" applyAlignment="1">
      <alignment horizontal="left" vertical="center" wrapText="1"/>
    </xf>
    <xf numFmtId="0" fontId="3" fillId="2" borderId="15" xfId="0" applyFont="1" applyFill="1" applyBorder="1" applyAlignment="1">
      <alignment horizontal="left" vertical="center"/>
    </xf>
    <xf numFmtId="9" fontId="6" fillId="0" borderId="18" xfId="5" applyNumberFormat="1" applyFont="1" applyBorder="1" applyAlignment="1">
      <alignment horizontal="left" vertical="center" wrapText="1" shrinkToFit="1"/>
    </xf>
    <xf numFmtId="0" fontId="12" fillId="0" borderId="18" xfId="5" applyFont="1" applyBorder="1" applyAlignment="1">
      <alignment horizontal="left" vertical="center" wrapText="1"/>
    </xf>
    <xf numFmtId="2" fontId="6" fillId="0" borderId="18" xfId="0" applyNumberFormat="1" applyFont="1" applyBorder="1" applyAlignment="1">
      <alignment horizontal="left" vertical="center" wrapText="1"/>
    </xf>
    <xf numFmtId="9" fontId="6" fillId="0" borderId="16" xfId="5" applyNumberFormat="1" applyFont="1" applyBorder="1" applyAlignment="1">
      <alignment horizontal="left" vertical="center" wrapText="1" shrinkToFit="1"/>
    </xf>
    <xf numFmtId="0" fontId="12" fillId="0" borderId="16" xfId="5" applyFont="1" applyBorder="1" applyAlignment="1">
      <alignment horizontal="left" vertical="center" wrapText="1"/>
    </xf>
    <xf numFmtId="9" fontId="6" fillId="0" borderId="19" xfId="5" applyNumberFormat="1" applyFont="1" applyBorder="1" applyAlignment="1">
      <alignment horizontal="left" vertical="center" wrapText="1" shrinkToFit="1"/>
    </xf>
    <xf numFmtId="0" fontId="12" fillId="0" borderId="19" xfId="5" applyFont="1" applyBorder="1" applyAlignment="1">
      <alignment horizontal="left" vertical="center" wrapText="1"/>
    </xf>
    <xf numFmtId="2" fontId="6" fillId="0" borderId="19" xfId="0" applyNumberFormat="1" applyFont="1" applyBorder="1" applyAlignment="1">
      <alignment horizontal="left" vertical="center" wrapText="1"/>
    </xf>
    <xf numFmtId="0" fontId="9" fillId="0" borderId="8" xfId="0" applyFont="1" applyBorder="1" applyAlignment="1">
      <alignment horizontal="left" vertical="center" wrapText="1"/>
    </xf>
    <xf numFmtId="9" fontId="11" fillId="0" borderId="8" xfId="0" applyNumberFormat="1" applyFont="1" applyBorder="1" applyAlignment="1">
      <alignment horizontal="left" vertical="center" wrapText="1" shrinkToFit="1"/>
    </xf>
    <xf numFmtId="0" fontId="9" fillId="0" borderId="18" xfId="0" applyFont="1" applyBorder="1" applyAlignment="1">
      <alignment horizontal="left" vertical="center" wrapText="1"/>
    </xf>
    <xf numFmtId="9" fontId="11" fillId="0" borderId="18" xfId="0" applyNumberFormat="1" applyFont="1" applyBorder="1" applyAlignment="1">
      <alignment horizontal="left" vertical="center" wrapText="1" shrinkToFit="1"/>
    </xf>
    <xf numFmtId="0" fontId="13" fillId="4" borderId="33" xfId="0" applyFont="1" applyFill="1" applyBorder="1" applyAlignment="1">
      <alignment horizontal="left" vertical="center" wrapText="1"/>
    </xf>
    <xf numFmtId="0" fontId="13" fillId="4" borderId="35" xfId="0" applyFont="1" applyFill="1" applyBorder="1" applyAlignment="1">
      <alignment horizontal="left" vertical="center" wrapText="1"/>
    </xf>
    <xf numFmtId="0" fontId="13" fillId="4" borderId="36" xfId="0" applyFont="1" applyFill="1" applyBorder="1" applyAlignment="1">
      <alignment horizontal="left" vertical="center" wrapText="1"/>
    </xf>
    <xf numFmtId="0" fontId="9" fillId="0" borderId="16" xfId="0" applyFont="1" applyBorder="1" applyAlignment="1">
      <alignment horizontal="left" vertical="center" wrapText="1"/>
    </xf>
    <xf numFmtId="9" fontId="11" fillId="0" borderId="16" xfId="0" applyNumberFormat="1" applyFont="1" applyBorder="1" applyAlignment="1">
      <alignment horizontal="left" vertical="center" wrapText="1" shrinkToFit="1"/>
    </xf>
    <xf numFmtId="1" fontId="11" fillId="0" borderId="31" xfId="0" applyNumberFormat="1" applyFont="1" applyBorder="1" applyAlignment="1">
      <alignment horizontal="center" vertical="center" wrapText="1" shrinkToFit="1"/>
    </xf>
    <xf numFmtId="0" fontId="9" fillId="0" borderId="37" xfId="0" applyFont="1" applyBorder="1" applyAlignment="1">
      <alignment horizontal="left" vertical="center" wrapText="1"/>
    </xf>
    <xf numFmtId="0" fontId="9" fillId="0" borderId="34" xfId="0" applyFont="1" applyBorder="1" applyAlignment="1">
      <alignment horizontal="left" vertical="center" wrapText="1"/>
    </xf>
    <xf numFmtId="2" fontId="6" fillId="0" borderId="40" xfId="0" applyNumberFormat="1" applyFont="1" applyBorder="1" applyAlignment="1">
      <alignment horizontal="left" vertical="center" wrapText="1"/>
    </xf>
    <xf numFmtId="2" fontId="0" fillId="0" borderId="8" xfId="0" applyNumberFormat="1" applyBorder="1" applyAlignment="1">
      <alignment horizontal="left" vertical="center" wrapText="1"/>
    </xf>
    <xf numFmtId="0" fontId="3" fillId="2" borderId="44" xfId="0" applyFont="1" applyFill="1" applyBorder="1" applyAlignment="1">
      <alignment vertical="center"/>
    </xf>
    <xf numFmtId="0" fontId="3" fillId="2" borderId="45" xfId="0" applyFont="1" applyFill="1" applyBorder="1" applyAlignment="1">
      <alignment vertical="center"/>
    </xf>
    <xf numFmtId="0" fontId="3" fillId="2" borderId="46" xfId="0" applyFont="1" applyFill="1" applyBorder="1" applyAlignment="1">
      <alignment vertical="center"/>
    </xf>
    <xf numFmtId="2" fontId="0" fillId="0" borderId="18" xfId="0" applyNumberFormat="1" applyBorder="1" applyAlignment="1">
      <alignment horizontal="left" vertical="center" wrapText="1"/>
    </xf>
    <xf numFmtId="0" fontId="9" fillId="0" borderId="19" xfId="0" applyFont="1" applyBorder="1" applyAlignment="1">
      <alignment horizontal="left" vertical="center" wrapText="1"/>
    </xf>
    <xf numFmtId="9" fontId="11" fillId="0" borderId="19" xfId="0" applyNumberFormat="1" applyFont="1" applyBorder="1" applyAlignment="1">
      <alignment horizontal="left" vertical="center" wrapText="1" shrinkToFit="1"/>
    </xf>
    <xf numFmtId="2" fontId="0" fillId="0" borderId="16" xfId="0" applyNumberFormat="1" applyBorder="1" applyAlignment="1">
      <alignment horizontal="left" vertical="center" wrapText="1"/>
    </xf>
    <xf numFmtId="0" fontId="9" fillId="0" borderId="31" xfId="0" applyFont="1" applyBorder="1" applyAlignment="1">
      <alignment horizontal="left" vertical="center" wrapText="1"/>
    </xf>
    <xf numFmtId="0" fontId="3" fillId="2" borderId="47" xfId="0" applyFont="1" applyFill="1" applyBorder="1" applyAlignment="1">
      <alignment vertical="center"/>
    </xf>
    <xf numFmtId="0" fontId="3" fillId="2" borderId="10" xfId="0" applyFont="1" applyFill="1" applyBorder="1" applyAlignment="1">
      <alignment vertical="center"/>
    </xf>
    <xf numFmtId="0" fontId="3" fillId="2" borderId="11" xfId="0" applyFont="1" applyFill="1" applyBorder="1" applyAlignment="1">
      <alignment vertical="center"/>
    </xf>
    <xf numFmtId="0" fontId="3" fillId="2" borderId="12" xfId="0" applyFont="1" applyFill="1" applyBorder="1" applyAlignment="1">
      <alignment vertical="center"/>
    </xf>
    <xf numFmtId="0" fontId="3" fillId="2" borderId="13" xfId="0" applyFont="1" applyFill="1" applyBorder="1" applyAlignment="1">
      <alignment vertical="center"/>
    </xf>
    <xf numFmtId="0" fontId="9" fillId="0" borderId="40" xfId="0" applyFont="1" applyBorder="1" applyAlignment="1">
      <alignment horizontal="left" vertical="center" wrapText="1"/>
    </xf>
    <xf numFmtId="9" fontId="11" fillId="0" borderId="40" xfId="0" applyNumberFormat="1" applyFont="1" applyBorder="1" applyAlignment="1">
      <alignment horizontal="left" vertical="center" wrapText="1" shrinkToFit="1"/>
    </xf>
    <xf numFmtId="0" fontId="3" fillId="0" borderId="7" xfId="0" applyFont="1" applyBorder="1" applyAlignment="1">
      <alignment vertical="center"/>
    </xf>
    <xf numFmtId="9" fontId="9" fillId="0" borderId="8" xfId="0" applyNumberFormat="1" applyFont="1" applyBorder="1" applyAlignment="1">
      <alignment horizontal="left" vertical="center" wrapText="1"/>
    </xf>
    <xf numFmtId="9" fontId="9" fillId="0" borderId="19" xfId="0" applyNumberFormat="1" applyFont="1" applyBorder="1" applyAlignment="1">
      <alignment horizontal="left" vertical="center" wrapText="1"/>
    </xf>
    <xf numFmtId="9" fontId="9" fillId="0" borderId="18" xfId="0" applyNumberFormat="1" applyFont="1" applyBorder="1" applyAlignment="1">
      <alignment horizontal="left" vertical="center" wrapText="1"/>
    </xf>
    <xf numFmtId="0" fontId="3" fillId="4" borderId="33" xfId="0" applyFont="1" applyFill="1" applyBorder="1" applyAlignment="1">
      <alignment horizontal="left" vertical="center" wrapText="1"/>
    </xf>
    <xf numFmtId="0" fontId="3" fillId="4" borderId="35" xfId="0" applyFont="1" applyFill="1" applyBorder="1" applyAlignment="1">
      <alignment horizontal="left" vertical="center" wrapText="1"/>
    </xf>
    <xf numFmtId="0" fontId="3" fillId="2" borderId="33" xfId="0" applyFont="1" applyFill="1" applyBorder="1" applyAlignment="1">
      <alignment horizontal="left" vertical="center" wrapText="1"/>
    </xf>
    <xf numFmtId="0" fontId="3" fillId="2" borderId="35" xfId="0" applyFont="1" applyFill="1" applyBorder="1" applyAlignment="1">
      <alignment horizontal="left" vertical="center" wrapText="1"/>
    </xf>
    <xf numFmtId="0" fontId="3" fillId="2" borderId="36" xfId="0" applyFont="1" applyFill="1" applyBorder="1" applyAlignment="1">
      <alignment horizontal="left" vertical="center" wrapText="1"/>
    </xf>
    <xf numFmtId="0" fontId="12" fillId="0" borderId="40" xfId="5" applyFont="1" applyBorder="1" applyAlignment="1">
      <alignment horizontal="left" vertical="center" wrapText="1"/>
    </xf>
    <xf numFmtId="9" fontId="6" fillId="0" borderId="40" xfId="5" applyNumberFormat="1" applyFont="1" applyBorder="1" applyAlignment="1">
      <alignment horizontal="left" vertical="center" wrapText="1" shrinkToFit="1"/>
    </xf>
    <xf numFmtId="0" fontId="9" fillId="0" borderId="31" xfId="0" applyFont="1" applyBorder="1" applyAlignment="1">
      <alignment horizontal="center" vertical="center" wrapText="1"/>
    </xf>
    <xf numFmtId="9" fontId="0" fillId="0" borderId="31" xfId="0" applyNumberFormat="1" applyBorder="1" applyAlignment="1">
      <alignment horizontal="left" vertical="center" wrapText="1"/>
    </xf>
    <xf numFmtId="0" fontId="0" fillId="0" borderId="31" xfId="0" applyBorder="1" applyAlignment="1">
      <alignment horizontal="left" vertical="center" wrapText="1"/>
    </xf>
    <xf numFmtId="2" fontId="0" fillId="0" borderId="31" xfId="0" applyNumberFormat="1" applyBorder="1" applyAlignment="1">
      <alignment horizontal="left" vertical="center" wrapText="1"/>
    </xf>
    <xf numFmtId="2" fontId="0" fillId="0" borderId="31" xfId="0" applyNumberFormat="1" applyBorder="1" applyAlignment="1">
      <alignment horizontal="center" vertical="center" wrapText="1"/>
    </xf>
    <xf numFmtId="2" fontId="0" fillId="0" borderId="32" xfId="0" applyNumberFormat="1" applyBorder="1" applyAlignment="1">
      <alignment horizontal="center" vertical="center" wrapText="1"/>
    </xf>
    <xf numFmtId="2" fontId="6" fillId="0" borderId="18" xfId="0" applyNumberFormat="1" applyFont="1" applyBorder="1" applyAlignment="1">
      <alignment horizontal="center" vertical="center" wrapText="1"/>
    </xf>
    <xf numFmtId="2" fontId="6" fillId="0" borderId="16" xfId="0" applyNumberFormat="1" applyFont="1" applyBorder="1" applyAlignment="1">
      <alignment horizontal="center" vertical="center" wrapText="1"/>
    </xf>
    <xf numFmtId="2" fontId="6" fillId="0" borderId="20" xfId="0" applyNumberFormat="1" applyFont="1" applyBorder="1" applyAlignment="1">
      <alignment horizontal="center" vertical="center" wrapText="1"/>
    </xf>
    <xf numFmtId="2" fontId="6" fillId="0" borderId="30" xfId="0" applyNumberFormat="1" applyFont="1" applyBorder="1" applyAlignment="1">
      <alignment horizontal="center" vertical="center" wrapText="1"/>
    </xf>
    <xf numFmtId="2" fontId="6" fillId="0" borderId="8" xfId="0" applyNumberFormat="1" applyFont="1" applyBorder="1" applyAlignment="1">
      <alignment horizontal="center" vertical="center" wrapText="1"/>
    </xf>
    <xf numFmtId="2" fontId="6" fillId="0" borderId="19" xfId="0" applyNumberFormat="1" applyFont="1" applyBorder="1" applyAlignment="1">
      <alignment horizontal="center" vertical="center" wrapText="1"/>
    </xf>
    <xf numFmtId="2" fontId="6" fillId="0" borderId="21" xfId="0" applyNumberFormat="1" applyFont="1" applyBorder="1" applyAlignment="1">
      <alignment horizontal="center" vertical="center" wrapText="1"/>
    </xf>
    <xf numFmtId="2" fontId="6" fillId="0" borderId="22" xfId="0" applyNumberFormat="1" applyFont="1" applyBorder="1" applyAlignment="1">
      <alignment horizontal="center" vertical="center" wrapText="1"/>
    </xf>
    <xf numFmtId="2" fontId="6" fillId="0" borderId="40" xfId="0" applyNumberFormat="1" applyFont="1" applyBorder="1" applyAlignment="1">
      <alignment horizontal="center" vertical="center" wrapText="1"/>
    </xf>
    <xf numFmtId="2" fontId="6" fillId="0" borderId="43" xfId="0" applyNumberFormat="1" applyFont="1" applyBorder="1" applyAlignment="1">
      <alignment horizontal="center" vertical="center" wrapText="1"/>
    </xf>
    <xf numFmtId="0" fontId="12" fillId="0" borderId="25" xfId="5" applyFont="1" applyBorder="1" applyAlignment="1">
      <alignment horizontal="left" vertical="center" wrapText="1"/>
    </xf>
    <xf numFmtId="0" fontId="12" fillId="0" borderId="26" xfId="5" applyFont="1" applyBorder="1" applyAlignment="1">
      <alignment horizontal="left" vertical="center" wrapText="1"/>
    </xf>
    <xf numFmtId="0" fontId="12" fillId="0" borderId="27" xfId="5" applyFont="1" applyBorder="1" applyAlignment="1">
      <alignment horizontal="left" vertical="center" wrapText="1"/>
    </xf>
    <xf numFmtId="0" fontId="12" fillId="0" borderId="23" xfId="5" applyFont="1" applyBorder="1" applyAlignment="1">
      <alignment horizontal="left" vertical="center" wrapText="1"/>
    </xf>
    <xf numFmtId="0" fontId="12" fillId="0" borderId="14" xfId="5" applyFont="1" applyBorder="1" applyAlignment="1">
      <alignment horizontal="left" vertical="center" wrapText="1"/>
    </xf>
    <xf numFmtId="0" fontId="12" fillId="0" borderId="24" xfId="5" applyFont="1" applyBorder="1" applyAlignment="1">
      <alignment horizontal="left" vertical="center" wrapText="1"/>
    </xf>
    <xf numFmtId="1" fontId="6" fillId="0" borderId="18" xfId="5" applyNumberFormat="1" applyFont="1" applyBorder="1" applyAlignment="1">
      <alignment horizontal="center" vertical="center" wrapText="1" shrinkToFit="1"/>
    </xf>
    <xf numFmtId="1" fontId="6" fillId="0" borderId="8" xfId="5" applyNumberFormat="1" applyFont="1" applyBorder="1" applyAlignment="1">
      <alignment horizontal="center" vertical="center" wrapText="1" shrinkToFit="1"/>
    </xf>
    <xf numFmtId="1" fontId="6" fillId="0" borderId="19" xfId="5" applyNumberFormat="1" applyFont="1" applyBorder="1" applyAlignment="1">
      <alignment horizontal="center" vertical="center" wrapText="1" shrinkToFit="1"/>
    </xf>
    <xf numFmtId="9" fontId="6" fillId="0" borderId="18" xfId="5" applyNumberFormat="1" applyFont="1" applyBorder="1" applyAlignment="1">
      <alignment horizontal="center" vertical="center" wrapText="1" shrinkToFit="1"/>
    </xf>
    <xf numFmtId="9" fontId="6" fillId="0" borderId="8" xfId="5" applyNumberFormat="1" applyFont="1" applyBorder="1" applyAlignment="1">
      <alignment horizontal="center" vertical="center" wrapText="1" shrinkToFit="1"/>
    </xf>
    <xf numFmtId="9" fontId="6" fillId="0" borderId="19" xfId="5" applyNumberFormat="1" applyFont="1" applyBorder="1" applyAlignment="1">
      <alignment horizontal="center" vertical="center" wrapText="1" shrinkToFit="1"/>
    </xf>
    <xf numFmtId="0" fontId="12" fillId="0" borderId="28" xfId="5" applyFont="1" applyBorder="1" applyAlignment="1">
      <alignment horizontal="left" vertical="center" wrapText="1"/>
    </xf>
    <xf numFmtId="0" fontId="12" fillId="0" borderId="29" xfId="5" applyFont="1" applyBorder="1" applyAlignment="1">
      <alignment horizontal="left" vertical="center" wrapText="1"/>
    </xf>
    <xf numFmtId="1" fontId="6" fillId="0" borderId="16" xfId="5" applyNumberFormat="1" applyFont="1" applyBorder="1" applyAlignment="1">
      <alignment horizontal="center" vertical="center" wrapText="1" shrinkToFit="1"/>
    </xf>
    <xf numFmtId="9" fontId="6" fillId="0" borderId="16" xfId="5" applyNumberFormat="1" applyFont="1" applyBorder="1" applyAlignment="1">
      <alignment horizontal="center" vertical="center" wrapText="1" shrinkToFit="1"/>
    </xf>
    <xf numFmtId="0" fontId="12" fillId="0" borderId="41" xfId="5" applyFont="1" applyBorder="1" applyAlignment="1">
      <alignment horizontal="left" vertical="center" wrapText="1"/>
    </xf>
    <xf numFmtId="0" fontId="12" fillId="0" borderId="42" xfId="5" applyFont="1" applyBorder="1" applyAlignment="1">
      <alignment horizontal="left" vertical="center" wrapText="1"/>
    </xf>
    <xf numFmtId="1" fontId="6" fillId="0" borderId="40" xfId="5" applyNumberFormat="1" applyFont="1" applyBorder="1" applyAlignment="1">
      <alignment horizontal="center" vertical="center" wrapText="1" shrinkToFit="1"/>
    </xf>
    <xf numFmtId="9" fontId="6" fillId="0" borderId="40" xfId="5" applyNumberFormat="1" applyFont="1" applyBorder="1" applyAlignment="1">
      <alignment horizontal="center" vertical="center" wrapText="1" shrinkToFit="1"/>
    </xf>
    <xf numFmtId="0" fontId="3" fillId="2" borderId="35" xfId="0" applyFont="1" applyFill="1" applyBorder="1" applyAlignment="1">
      <alignment horizontal="left" vertical="center" wrapText="1"/>
    </xf>
    <xf numFmtId="0" fontId="3" fillId="2" borderId="3" xfId="0" applyFont="1" applyFill="1" applyBorder="1" applyAlignment="1">
      <alignment vertical="center"/>
    </xf>
    <xf numFmtId="0" fontId="3" fillId="2" borderId="9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0" borderId="7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6" fillId="0" borderId="18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left" vertical="center" wrapText="1"/>
    </xf>
    <xf numFmtId="0" fontId="6" fillId="0" borderId="14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left" vertical="center" wrapText="1"/>
    </xf>
    <xf numFmtId="0" fontId="6" fillId="0" borderId="26" xfId="0" applyFont="1" applyBorder="1" applyAlignment="1">
      <alignment horizontal="left" vertical="center" wrapText="1"/>
    </xf>
    <xf numFmtId="0" fontId="6" fillId="0" borderId="27" xfId="0" applyFont="1" applyBorder="1" applyAlignment="1">
      <alignment horizontal="left" vertical="center" wrapText="1"/>
    </xf>
    <xf numFmtId="0" fontId="13" fillId="4" borderId="35" xfId="0" applyFont="1" applyFill="1" applyBorder="1" applyAlignment="1">
      <alignment horizontal="left" vertical="center" wrapText="1"/>
    </xf>
    <xf numFmtId="9" fontId="6" fillId="0" borderId="18" xfId="0" applyNumberFormat="1" applyFont="1" applyBorder="1" applyAlignment="1">
      <alignment horizontal="center" vertical="center" wrapText="1"/>
    </xf>
    <xf numFmtId="9" fontId="6" fillId="0" borderId="8" xfId="0" applyNumberFormat="1" applyFont="1" applyBorder="1" applyAlignment="1">
      <alignment horizontal="center" vertical="center" wrapText="1"/>
    </xf>
    <xf numFmtId="9" fontId="6" fillId="0" borderId="19" xfId="0" applyNumberFormat="1" applyFont="1" applyBorder="1" applyAlignment="1">
      <alignment horizontal="center" vertical="center" wrapText="1"/>
    </xf>
    <xf numFmtId="9" fontId="11" fillId="0" borderId="18" xfId="0" applyNumberFormat="1" applyFont="1" applyBorder="1" applyAlignment="1">
      <alignment horizontal="center" vertical="center" wrapText="1" shrinkToFit="1"/>
    </xf>
    <xf numFmtId="9" fontId="11" fillId="0" borderId="8" xfId="0" applyNumberFormat="1" applyFont="1" applyBorder="1" applyAlignment="1">
      <alignment horizontal="center" vertical="center" wrapText="1" shrinkToFit="1"/>
    </xf>
    <xf numFmtId="9" fontId="11" fillId="0" borderId="16" xfId="0" applyNumberFormat="1" applyFont="1" applyBorder="1" applyAlignment="1">
      <alignment horizontal="center" vertical="center" wrapText="1" shrinkToFit="1"/>
    </xf>
    <xf numFmtId="0" fontId="9" fillId="0" borderId="25" xfId="0" applyFont="1" applyBorder="1" applyAlignment="1">
      <alignment horizontal="left" vertical="center" wrapText="1"/>
    </xf>
    <xf numFmtId="0" fontId="9" fillId="0" borderId="26" xfId="0" applyFont="1" applyBorder="1" applyAlignment="1">
      <alignment horizontal="left" vertical="center" wrapText="1"/>
    </xf>
    <xf numFmtId="0" fontId="9" fillId="0" borderId="28" xfId="0" applyFont="1" applyBorder="1" applyAlignment="1">
      <alignment horizontal="left" vertical="center" wrapText="1"/>
    </xf>
    <xf numFmtId="0" fontId="9" fillId="0" borderId="23" xfId="0" applyFont="1" applyBorder="1" applyAlignment="1">
      <alignment horizontal="left" vertical="center" wrapText="1"/>
    </xf>
    <xf numFmtId="0" fontId="9" fillId="0" borderId="14" xfId="0" applyFont="1" applyBorder="1" applyAlignment="1">
      <alignment horizontal="left" vertical="center" wrapText="1"/>
    </xf>
    <xf numFmtId="0" fontId="9" fillId="0" borderId="29" xfId="0" applyFont="1" applyBorder="1" applyAlignment="1">
      <alignment horizontal="left" vertical="center" wrapText="1"/>
    </xf>
    <xf numFmtId="1" fontId="11" fillId="0" borderId="18" xfId="0" applyNumberFormat="1" applyFont="1" applyBorder="1" applyAlignment="1">
      <alignment horizontal="center" vertical="center" wrapText="1" shrinkToFit="1"/>
    </xf>
    <xf numFmtId="1" fontId="11" fillId="0" borderId="8" xfId="0" applyNumberFormat="1" applyFont="1" applyBorder="1" applyAlignment="1">
      <alignment horizontal="center" vertical="center" wrapText="1" shrinkToFit="1"/>
    </xf>
    <xf numFmtId="1" fontId="11" fillId="0" borderId="16" xfId="0" applyNumberFormat="1" applyFont="1" applyBorder="1" applyAlignment="1">
      <alignment horizontal="center" vertical="center" wrapText="1" shrinkToFit="1"/>
    </xf>
    <xf numFmtId="0" fontId="3" fillId="2" borderId="45" xfId="0" applyFont="1" applyFill="1" applyBorder="1" applyAlignment="1">
      <alignment vertical="center"/>
    </xf>
    <xf numFmtId="0" fontId="3" fillId="2" borderId="12" xfId="0" applyFont="1" applyFill="1" applyBorder="1" applyAlignment="1">
      <alignment vertical="center"/>
    </xf>
    <xf numFmtId="0" fontId="3" fillId="2" borderId="17" xfId="0" applyFont="1" applyFill="1" applyBorder="1" applyAlignment="1">
      <alignment vertical="center"/>
    </xf>
    <xf numFmtId="0" fontId="3" fillId="2" borderId="48" xfId="0" applyFont="1" applyFill="1" applyBorder="1" applyAlignment="1">
      <alignment vertical="center"/>
    </xf>
    <xf numFmtId="2" fontId="0" fillId="0" borderId="18" xfId="0" applyNumberFormat="1" applyBorder="1" applyAlignment="1">
      <alignment horizontal="center" vertical="center" wrapText="1"/>
    </xf>
    <xf numFmtId="2" fontId="0" fillId="0" borderId="8" xfId="0" applyNumberFormat="1" applyBorder="1" applyAlignment="1">
      <alignment horizontal="center" vertical="center" wrapText="1"/>
    </xf>
    <xf numFmtId="2" fontId="0" fillId="0" borderId="16" xfId="0" applyNumberFormat="1" applyBorder="1" applyAlignment="1">
      <alignment horizontal="center" vertical="center" wrapText="1"/>
    </xf>
    <xf numFmtId="2" fontId="0" fillId="0" borderId="20" xfId="0" applyNumberFormat="1" applyBorder="1" applyAlignment="1">
      <alignment horizontal="center" vertical="center" wrapText="1"/>
    </xf>
    <xf numFmtId="2" fontId="0" fillId="0" borderId="21" xfId="0" applyNumberFormat="1" applyBorder="1" applyAlignment="1">
      <alignment horizontal="center" vertical="center" wrapText="1"/>
    </xf>
    <xf numFmtId="2" fontId="0" fillId="0" borderId="30" xfId="0" applyNumberFormat="1" applyBorder="1" applyAlignment="1">
      <alignment horizontal="center" vertical="center" wrapText="1"/>
    </xf>
    <xf numFmtId="0" fontId="0" fillId="0" borderId="29" xfId="0" applyBorder="1" applyAlignment="1">
      <alignment horizontal="left" vertical="center" wrapText="1"/>
    </xf>
    <xf numFmtId="0" fontId="9" fillId="0" borderId="41" xfId="0" applyFont="1" applyBorder="1" applyAlignment="1">
      <alignment horizontal="left" vertical="center" wrapText="1"/>
    </xf>
    <xf numFmtId="0" fontId="9" fillId="0" borderId="42" xfId="0" applyFont="1" applyBorder="1" applyAlignment="1">
      <alignment horizontal="left" vertical="center" wrapText="1"/>
    </xf>
    <xf numFmtId="1" fontId="11" fillId="0" borderId="40" xfId="0" applyNumberFormat="1" applyFont="1" applyBorder="1" applyAlignment="1">
      <alignment horizontal="center" vertical="center" wrapText="1" shrinkToFit="1"/>
    </xf>
    <xf numFmtId="9" fontId="11" fillId="0" borderId="40" xfId="0" applyNumberFormat="1" applyFont="1" applyBorder="1" applyAlignment="1">
      <alignment horizontal="center" vertical="center" wrapText="1" shrinkToFit="1"/>
    </xf>
    <xf numFmtId="0" fontId="4" fillId="0" borderId="8" xfId="0" applyFont="1" applyFill="1" applyBorder="1" applyAlignment="1">
      <alignment horizontal="center" vertical="center" wrapText="1"/>
    </xf>
    <xf numFmtId="9" fontId="4" fillId="0" borderId="8" xfId="0" applyNumberFormat="1" applyFont="1" applyFill="1" applyBorder="1" applyAlignment="1">
      <alignment horizontal="center" vertical="center" wrapText="1"/>
    </xf>
    <xf numFmtId="2" fontId="4" fillId="0" borderId="8" xfId="0" applyNumberFormat="1" applyFont="1" applyFill="1" applyBorder="1" applyAlignment="1">
      <alignment horizontal="center" vertical="center" wrapText="1"/>
    </xf>
    <xf numFmtId="2" fontId="6" fillId="0" borderId="8" xfId="0" applyNumberFormat="1" applyFont="1" applyFill="1" applyBorder="1" applyAlignment="1">
      <alignment horizontal="center" vertical="center" wrapText="1"/>
    </xf>
    <xf numFmtId="0" fontId="4" fillId="0" borderId="8" xfId="0" applyFont="1" applyFill="1" applyBorder="1" applyAlignment="1">
      <alignment horizontal="left" vertical="center" wrapText="1"/>
    </xf>
    <xf numFmtId="9" fontId="4" fillId="0" borderId="8" xfId="0" applyNumberFormat="1" applyFont="1" applyFill="1" applyBorder="1" applyAlignment="1">
      <alignment horizontal="left" vertical="center" wrapText="1"/>
    </xf>
    <xf numFmtId="2" fontId="4" fillId="0" borderId="8" xfId="0" applyNumberFormat="1" applyFont="1" applyFill="1" applyBorder="1" applyAlignment="1">
      <alignment horizontal="left" vertical="center" wrapText="1"/>
    </xf>
    <xf numFmtId="0" fontId="4" fillId="0" borderId="18" xfId="0" applyFont="1" applyFill="1" applyBorder="1" applyAlignment="1">
      <alignment horizontal="center" vertical="center" wrapText="1"/>
    </xf>
    <xf numFmtId="9" fontId="4" fillId="0" borderId="18" xfId="0" applyNumberFormat="1" applyFont="1" applyFill="1" applyBorder="1" applyAlignment="1">
      <alignment horizontal="center" vertical="center" wrapText="1"/>
    </xf>
    <xf numFmtId="0" fontId="4" fillId="0" borderId="18" xfId="0" applyFont="1" applyFill="1" applyBorder="1" applyAlignment="1">
      <alignment horizontal="left" vertical="center" wrapText="1"/>
    </xf>
    <xf numFmtId="9" fontId="4" fillId="0" borderId="18" xfId="0" applyNumberFormat="1" applyFont="1" applyFill="1" applyBorder="1" applyAlignment="1">
      <alignment horizontal="left" vertical="center" wrapText="1"/>
    </xf>
    <xf numFmtId="2" fontId="4" fillId="0" borderId="18" xfId="0" applyNumberFormat="1" applyFont="1" applyFill="1" applyBorder="1" applyAlignment="1">
      <alignment horizontal="left" vertical="center" wrapText="1"/>
    </xf>
    <xf numFmtId="2" fontId="4" fillId="0" borderId="18" xfId="0" applyNumberFormat="1" applyFont="1" applyFill="1" applyBorder="1" applyAlignment="1">
      <alignment horizontal="center" vertical="center" wrapText="1"/>
    </xf>
    <xf numFmtId="2" fontId="6" fillId="0" borderId="18" xfId="0" applyNumberFormat="1" applyFont="1" applyFill="1" applyBorder="1" applyAlignment="1">
      <alignment horizontal="center" vertical="center" wrapText="1"/>
    </xf>
    <xf numFmtId="0" fontId="4" fillId="0" borderId="19" xfId="0" applyFont="1" applyFill="1" applyBorder="1" applyAlignment="1">
      <alignment horizontal="center" vertical="center" wrapText="1"/>
    </xf>
    <xf numFmtId="9" fontId="4" fillId="0" borderId="19" xfId="0" applyNumberFormat="1" applyFont="1" applyFill="1" applyBorder="1" applyAlignment="1">
      <alignment horizontal="center" vertical="center" wrapText="1"/>
    </xf>
    <xf numFmtId="0" fontId="4" fillId="0" borderId="19" xfId="0" applyFont="1" applyFill="1" applyBorder="1" applyAlignment="1">
      <alignment horizontal="left" vertical="center" wrapText="1"/>
    </xf>
    <xf numFmtId="9" fontId="4" fillId="0" borderId="19" xfId="0" applyNumberFormat="1" applyFont="1" applyFill="1" applyBorder="1" applyAlignment="1">
      <alignment horizontal="left" vertical="center" wrapText="1"/>
    </xf>
    <xf numFmtId="2" fontId="4" fillId="0" borderId="19" xfId="0" applyNumberFormat="1" applyFont="1" applyFill="1" applyBorder="1" applyAlignment="1">
      <alignment horizontal="left" vertical="center" wrapText="1"/>
    </xf>
    <xf numFmtId="2" fontId="4" fillId="0" borderId="19" xfId="0" applyNumberFormat="1" applyFont="1" applyFill="1" applyBorder="1" applyAlignment="1">
      <alignment horizontal="center" vertical="center" wrapText="1"/>
    </xf>
    <xf numFmtId="2" fontId="6" fillId="0" borderId="19" xfId="0" applyNumberFormat="1" applyFont="1" applyFill="1" applyBorder="1" applyAlignment="1">
      <alignment horizontal="center" vertical="center" wrapText="1"/>
    </xf>
    <xf numFmtId="2" fontId="6" fillId="0" borderId="20" xfId="0" applyNumberFormat="1" applyFont="1" applyFill="1" applyBorder="1" applyAlignment="1">
      <alignment horizontal="center" vertical="center" wrapText="1"/>
    </xf>
    <xf numFmtId="2" fontId="6" fillId="0" borderId="21" xfId="0" applyNumberFormat="1" applyFont="1" applyFill="1" applyBorder="1" applyAlignment="1">
      <alignment horizontal="center" vertical="center" wrapText="1"/>
    </xf>
    <xf numFmtId="2" fontId="6" fillId="0" borderId="22" xfId="0" applyNumberFormat="1" applyFont="1" applyFill="1" applyBorder="1" applyAlignment="1">
      <alignment horizontal="center" vertical="center" wrapText="1"/>
    </xf>
    <xf numFmtId="0" fontId="4" fillId="0" borderId="23" xfId="0" applyFont="1" applyFill="1" applyBorder="1" applyAlignment="1">
      <alignment horizontal="left" vertical="center" wrapText="1"/>
    </xf>
    <xf numFmtId="0" fontId="4" fillId="0" borderId="14" xfId="0" applyFont="1" applyFill="1" applyBorder="1" applyAlignment="1">
      <alignment horizontal="left" vertical="center" wrapText="1"/>
    </xf>
    <xf numFmtId="0" fontId="4" fillId="0" borderId="24" xfId="0" applyFont="1" applyFill="1" applyBorder="1" applyAlignment="1">
      <alignment horizontal="left" vertical="center" wrapText="1"/>
    </xf>
    <xf numFmtId="0" fontId="4" fillId="0" borderId="25" xfId="0" applyFont="1" applyFill="1" applyBorder="1" applyAlignment="1">
      <alignment horizontal="left" vertical="center" wrapText="1"/>
    </xf>
    <xf numFmtId="0" fontId="4" fillId="0" borderId="26" xfId="0" applyFont="1" applyFill="1" applyBorder="1" applyAlignment="1">
      <alignment horizontal="left" vertical="center" wrapText="1"/>
    </xf>
    <xf numFmtId="0" fontId="4" fillId="0" borderId="27" xfId="0" applyFont="1" applyFill="1" applyBorder="1" applyAlignment="1">
      <alignment horizontal="left" vertical="center" wrapText="1"/>
    </xf>
    <xf numFmtId="0" fontId="4" fillId="0" borderId="28" xfId="0" applyFont="1" applyFill="1" applyBorder="1" applyAlignment="1">
      <alignment horizontal="left" vertical="center" wrapText="1"/>
    </xf>
    <xf numFmtId="0" fontId="4" fillId="0" borderId="29" xfId="0" applyFont="1" applyFill="1" applyBorder="1" applyAlignment="1">
      <alignment horizontal="left" vertical="center" wrapText="1"/>
    </xf>
    <xf numFmtId="0" fontId="4" fillId="0" borderId="16" xfId="0" applyFont="1" applyFill="1" applyBorder="1" applyAlignment="1">
      <alignment horizontal="center" vertical="center" wrapText="1"/>
    </xf>
    <xf numFmtId="9" fontId="4" fillId="0" borderId="16" xfId="0" applyNumberFormat="1" applyFont="1" applyFill="1" applyBorder="1" applyAlignment="1">
      <alignment horizontal="center" vertical="center" wrapText="1"/>
    </xf>
    <xf numFmtId="0" fontId="4" fillId="0" borderId="16" xfId="0" applyFont="1" applyFill="1" applyBorder="1" applyAlignment="1">
      <alignment horizontal="left" vertical="center" wrapText="1"/>
    </xf>
    <xf numFmtId="9" fontId="4" fillId="0" borderId="16" xfId="0" applyNumberFormat="1" applyFont="1" applyFill="1" applyBorder="1" applyAlignment="1">
      <alignment horizontal="left" vertical="center" wrapText="1"/>
    </xf>
    <xf numFmtId="2" fontId="4" fillId="0" borderId="16" xfId="0" applyNumberFormat="1" applyFont="1" applyFill="1" applyBorder="1" applyAlignment="1">
      <alignment horizontal="left" vertical="center" wrapText="1"/>
    </xf>
    <xf numFmtId="2" fontId="4" fillId="0" borderId="16" xfId="0" applyNumberFormat="1" applyFont="1" applyFill="1" applyBorder="1" applyAlignment="1">
      <alignment horizontal="center" vertical="center" wrapText="1"/>
    </xf>
    <xf numFmtId="2" fontId="6" fillId="0" borderId="16" xfId="0" applyNumberFormat="1" applyFont="1" applyFill="1" applyBorder="1" applyAlignment="1">
      <alignment horizontal="center" vertical="center" wrapText="1"/>
    </xf>
    <xf numFmtId="2" fontId="6" fillId="0" borderId="30" xfId="0" applyNumberFormat="1" applyFont="1" applyFill="1" applyBorder="1" applyAlignment="1">
      <alignment horizontal="center" vertical="center" wrapText="1"/>
    </xf>
    <xf numFmtId="2" fontId="6" fillId="0" borderId="8" xfId="0" applyNumberFormat="1" applyFont="1" applyFill="1" applyBorder="1" applyAlignment="1">
      <alignment horizontal="left" vertical="center" wrapText="1"/>
    </xf>
    <xf numFmtId="2" fontId="6" fillId="0" borderId="18" xfId="0" applyNumberFormat="1" applyFont="1" applyFill="1" applyBorder="1" applyAlignment="1">
      <alignment horizontal="left" vertical="center" wrapText="1"/>
    </xf>
    <xf numFmtId="2" fontId="6" fillId="0" borderId="19" xfId="0" applyNumberFormat="1" applyFont="1" applyFill="1" applyBorder="1" applyAlignment="1">
      <alignment horizontal="left" vertical="center" wrapText="1"/>
    </xf>
    <xf numFmtId="2" fontId="6" fillId="3" borderId="19" xfId="0" applyNumberFormat="1" applyFont="1" applyFill="1" applyBorder="1" applyAlignment="1">
      <alignment horizontal="left" vertical="center" wrapText="1"/>
    </xf>
    <xf numFmtId="9" fontId="11" fillId="0" borderId="8" xfId="1" applyNumberFormat="1" applyFont="1" applyFill="1" applyBorder="1" applyAlignment="1">
      <alignment horizontal="left" vertical="center" wrapText="1" shrinkToFit="1"/>
    </xf>
    <xf numFmtId="9" fontId="11" fillId="0" borderId="16" xfId="1" applyNumberFormat="1" applyFont="1" applyFill="1" applyBorder="1" applyAlignment="1">
      <alignment horizontal="left" vertical="center" wrapText="1" shrinkToFit="1"/>
    </xf>
    <xf numFmtId="1" fontId="11" fillId="0" borderId="8" xfId="0" applyNumberFormat="1" applyFont="1" applyFill="1" applyBorder="1" applyAlignment="1">
      <alignment horizontal="center" vertical="center" wrapText="1" shrinkToFit="1"/>
    </xf>
    <xf numFmtId="9" fontId="11" fillId="0" borderId="8" xfId="0" applyNumberFormat="1" applyFont="1" applyFill="1" applyBorder="1" applyAlignment="1">
      <alignment horizontal="center" vertical="center" wrapText="1" shrinkToFit="1"/>
    </xf>
    <xf numFmtId="0" fontId="9" fillId="0" borderId="8" xfId="0" applyFont="1" applyFill="1" applyBorder="1" applyAlignment="1">
      <alignment horizontal="left" vertical="center" wrapText="1"/>
    </xf>
    <xf numFmtId="1" fontId="11" fillId="0" borderId="18" xfId="0" applyNumberFormat="1" applyFont="1" applyFill="1" applyBorder="1" applyAlignment="1">
      <alignment horizontal="center" vertical="center" wrapText="1" shrinkToFit="1"/>
    </xf>
    <xf numFmtId="9" fontId="11" fillId="0" borderId="18" xfId="0" applyNumberFormat="1" applyFont="1" applyFill="1" applyBorder="1" applyAlignment="1">
      <alignment horizontal="center" vertical="center" wrapText="1" shrinkToFit="1"/>
    </xf>
    <xf numFmtId="0" fontId="9" fillId="0" borderId="18" xfId="0" applyFont="1" applyFill="1" applyBorder="1" applyAlignment="1">
      <alignment horizontal="left" vertical="center" wrapText="1"/>
    </xf>
    <xf numFmtId="9" fontId="11" fillId="0" borderId="18" xfId="1" applyNumberFormat="1" applyFont="1" applyFill="1" applyBorder="1" applyAlignment="1">
      <alignment horizontal="left" vertical="center" wrapText="1" shrinkToFit="1"/>
    </xf>
    <xf numFmtId="1" fontId="11" fillId="0" borderId="19" xfId="0" applyNumberFormat="1" applyFont="1" applyFill="1" applyBorder="1" applyAlignment="1">
      <alignment horizontal="center" vertical="center" wrapText="1" shrinkToFit="1"/>
    </xf>
    <xf numFmtId="9" fontId="11" fillId="0" borderId="19" xfId="0" applyNumberFormat="1" applyFont="1" applyFill="1" applyBorder="1" applyAlignment="1">
      <alignment horizontal="center" vertical="center" wrapText="1" shrinkToFit="1"/>
    </xf>
    <xf numFmtId="0" fontId="9" fillId="0" borderId="19" xfId="0" applyFont="1" applyFill="1" applyBorder="1" applyAlignment="1">
      <alignment horizontal="left" vertical="center" wrapText="1"/>
    </xf>
    <xf numFmtId="0" fontId="9" fillId="0" borderId="23" xfId="0" applyFont="1" applyFill="1" applyBorder="1" applyAlignment="1">
      <alignment horizontal="left" vertical="center" wrapText="1"/>
    </xf>
    <xf numFmtId="0" fontId="9" fillId="0" borderId="14" xfId="0" applyFont="1" applyFill="1" applyBorder="1" applyAlignment="1">
      <alignment horizontal="left" vertical="center" wrapText="1"/>
    </xf>
    <xf numFmtId="0" fontId="9" fillId="0" borderId="24" xfId="0" applyFont="1" applyFill="1" applyBorder="1" applyAlignment="1">
      <alignment horizontal="left" vertical="center" wrapText="1"/>
    </xf>
    <xf numFmtId="0" fontId="9" fillId="0" borderId="25" xfId="0" applyFont="1" applyFill="1" applyBorder="1" applyAlignment="1">
      <alignment horizontal="left" vertical="center" wrapText="1"/>
    </xf>
    <xf numFmtId="0" fontId="9" fillId="0" borderId="26" xfId="0" applyFont="1" applyFill="1" applyBorder="1" applyAlignment="1">
      <alignment horizontal="left" vertical="center" wrapText="1"/>
    </xf>
    <xf numFmtId="0" fontId="9" fillId="0" borderId="27" xfId="0" applyFont="1" applyFill="1" applyBorder="1" applyAlignment="1">
      <alignment horizontal="left" vertical="center" wrapText="1"/>
    </xf>
    <xf numFmtId="0" fontId="9" fillId="0" borderId="28" xfId="0" applyFont="1" applyFill="1" applyBorder="1" applyAlignment="1">
      <alignment horizontal="left" vertical="center" wrapText="1"/>
    </xf>
    <xf numFmtId="0" fontId="9" fillId="0" borderId="29" xfId="0" applyFont="1" applyFill="1" applyBorder="1" applyAlignment="1">
      <alignment horizontal="left" vertical="center" wrapText="1"/>
    </xf>
    <xf numFmtId="1" fontId="11" fillId="0" borderId="16" xfId="0" applyNumberFormat="1" applyFont="1" applyFill="1" applyBorder="1" applyAlignment="1">
      <alignment horizontal="center" vertical="center" wrapText="1" shrinkToFit="1"/>
    </xf>
    <xf numFmtId="9" fontId="11" fillId="0" borderId="16" xfId="0" applyNumberFormat="1" applyFont="1" applyFill="1" applyBorder="1" applyAlignment="1">
      <alignment horizontal="center" vertical="center" wrapText="1" shrinkToFit="1"/>
    </xf>
    <xf numFmtId="0" fontId="9" fillId="0" borderId="16" xfId="0" applyFont="1" applyFill="1" applyBorder="1" applyAlignment="1">
      <alignment horizontal="left" vertical="center" wrapText="1"/>
    </xf>
    <xf numFmtId="2" fontId="6" fillId="0" borderId="16" xfId="0" applyNumberFormat="1" applyFont="1" applyFill="1" applyBorder="1" applyAlignment="1">
      <alignment horizontal="left" vertical="center" wrapText="1"/>
    </xf>
    <xf numFmtId="9" fontId="11" fillId="0" borderId="8" xfId="0" applyNumberFormat="1" applyFont="1" applyFill="1" applyBorder="1" applyAlignment="1">
      <alignment horizontal="left" vertical="center" wrapText="1" shrinkToFit="1"/>
    </xf>
    <xf numFmtId="9" fontId="11" fillId="0" borderId="18" xfId="0" applyNumberFormat="1" applyFont="1" applyFill="1" applyBorder="1" applyAlignment="1">
      <alignment horizontal="left" vertical="center" wrapText="1" shrinkToFit="1"/>
    </xf>
    <xf numFmtId="9" fontId="11" fillId="0" borderId="19" xfId="0" applyNumberFormat="1" applyFont="1" applyFill="1" applyBorder="1" applyAlignment="1">
      <alignment horizontal="left" vertical="center" wrapText="1" shrinkToFit="1"/>
    </xf>
    <xf numFmtId="9" fontId="11" fillId="0" borderId="16" xfId="0" applyNumberFormat="1" applyFont="1" applyFill="1" applyBorder="1" applyAlignment="1">
      <alignment horizontal="left" vertical="center" wrapText="1" shrinkToFit="1"/>
    </xf>
    <xf numFmtId="0" fontId="9" fillId="0" borderId="31" xfId="0" applyFont="1" applyFill="1" applyBorder="1" applyAlignment="1">
      <alignment horizontal="left" vertical="center" wrapText="1"/>
    </xf>
    <xf numFmtId="1" fontId="11" fillId="0" borderId="31" xfId="0" applyNumberFormat="1" applyFont="1" applyFill="1" applyBorder="1" applyAlignment="1">
      <alignment horizontal="center" vertical="center" wrapText="1" shrinkToFit="1"/>
    </xf>
    <xf numFmtId="9" fontId="11" fillId="0" borderId="31" xfId="0" applyNumberFormat="1" applyFont="1" applyFill="1" applyBorder="1" applyAlignment="1">
      <alignment horizontal="center" vertical="center" wrapText="1" shrinkToFit="1"/>
    </xf>
    <xf numFmtId="0" fontId="14" fillId="0" borderId="31" xfId="0" applyFont="1" applyFill="1" applyBorder="1" applyAlignment="1">
      <alignment horizontal="left" vertical="center" wrapText="1"/>
    </xf>
    <xf numFmtId="9" fontId="14" fillId="0" borderId="31" xfId="0" applyNumberFormat="1" applyFont="1" applyFill="1" applyBorder="1" applyAlignment="1">
      <alignment horizontal="left" vertical="center" wrapText="1"/>
    </xf>
    <xf numFmtId="2" fontId="6" fillId="0" borderId="31" xfId="0" applyNumberFormat="1" applyFont="1" applyFill="1" applyBorder="1" applyAlignment="1">
      <alignment horizontal="left" vertical="center" wrapText="1"/>
    </xf>
    <xf numFmtId="2" fontId="6" fillId="0" borderId="31" xfId="0" applyNumberFormat="1" applyFont="1" applyFill="1" applyBorder="1" applyAlignment="1">
      <alignment horizontal="center" vertical="center" wrapText="1"/>
    </xf>
    <xf numFmtId="2" fontId="6" fillId="0" borderId="32" xfId="0" applyNumberFormat="1" applyFont="1" applyFill="1" applyBorder="1" applyAlignment="1">
      <alignment horizontal="center" vertical="center" wrapText="1"/>
    </xf>
    <xf numFmtId="0" fontId="9" fillId="0" borderId="37" xfId="0" applyFont="1" applyFill="1" applyBorder="1" applyAlignment="1">
      <alignment horizontal="left" vertical="center" wrapText="1"/>
    </xf>
    <xf numFmtId="0" fontId="9" fillId="0" borderId="34" xfId="0" applyFont="1" applyFill="1" applyBorder="1" applyAlignment="1">
      <alignment horizontal="left" vertical="center" wrapText="1"/>
    </xf>
    <xf numFmtId="0" fontId="9" fillId="0" borderId="38" xfId="0" applyFont="1" applyFill="1" applyBorder="1" applyAlignment="1">
      <alignment horizontal="left" vertical="center" wrapText="1"/>
    </xf>
    <xf numFmtId="0" fontId="9" fillId="0" borderId="39" xfId="0" applyFont="1" applyFill="1" applyBorder="1" applyAlignment="1">
      <alignment horizontal="left" vertical="center" wrapText="1"/>
    </xf>
    <xf numFmtId="1" fontId="11" fillId="0" borderId="35" xfId="0" applyNumberFormat="1" applyFont="1" applyFill="1" applyBorder="1" applyAlignment="1">
      <alignment horizontal="center" vertical="center" wrapText="1" shrinkToFit="1"/>
    </xf>
    <xf numFmtId="9" fontId="11" fillId="0" borderId="35" xfId="0" applyNumberFormat="1" applyFont="1" applyFill="1" applyBorder="1" applyAlignment="1">
      <alignment horizontal="center" vertical="center" wrapText="1" shrinkToFit="1"/>
    </xf>
    <xf numFmtId="0" fontId="14" fillId="0" borderId="35" xfId="0" applyFont="1" applyFill="1" applyBorder="1" applyAlignment="1">
      <alignment horizontal="left" vertical="center" wrapText="1"/>
    </xf>
    <xf numFmtId="9" fontId="14" fillId="0" borderId="35" xfId="0" applyNumberFormat="1" applyFont="1" applyFill="1" applyBorder="1" applyAlignment="1">
      <alignment horizontal="left" vertical="center" wrapText="1"/>
    </xf>
    <xf numFmtId="2" fontId="6" fillId="0" borderId="35" xfId="0" applyNumberFormat="1" applyFont="1" applyFill="1" applyBorder="1" applyAlignment="1">
      <alignment horizontal="left" vertical="center" wrapText="1"/>
    </xf>
    <xf numFmtId="2" fontId="6" fillId="0" borderId="35" xfId="0" applyNumberFormat="1" applyFont="1" applyFill="1" applyBorder="1" applyAlignment="1">
      <alignment horizontal="center" vertical="center" wrapText="1"/>
    </xf>
    <xf numFmtId="2" fontId="6" fillId="0" borderId="36" xfId="0" applyNumberFormat="1" applyFont="1" applyFill="1" applyBorder="1" applyAlignment="1">
      <alignment horizontal="center" vertical="center" wrapText="1"/>
    </xf>
    <xf numFmtId="9" fontId="11" fillId="0" borderId="18" xfId="1" applyFont="1" applyFill="1" applyBorder="1" applyAlignment="1">
      <alignment horizontal="center" vertical="center" wrapText="1" shrinkToFit="1"/>
    </xf>
    <xf numFmtId="9" fontId="11" fillId="0" borderId="8" xfId="1" applyFont="1" applyFill="1" applyBorder="1" applyAlignment="1">
      <alignment horizontal="center" vertical="center" wrapText="1" shrinkToFit="1"/>
    </xf>
    <xf numFmtId="9" fontId="11" fillId="0" borderId="16" xfId="1" applyFont="1" applyFill="1" applyBorder="1" applyAlignment="1">
      <alignment horizontal="center" vertical="center" wrapText="1" shrinkToFit="1"/>
    </xf>
    <xf numFmtId="9" fontId="11" fillId="0" borderId="35" xfId="1" applyFont="1" applyFill="1" applyBorder="1" applyAlignment="1">
      <alignment horizontal="center" vertical="center" wrapText="1" shrinkToFit="1"/>
    </xf>
    <xf numFmtId="9" fontId="11" fillId="0" borderId="31" xfId="1" applyFont="1" applyFill="1" applyBorder="1" applyAlignment="1">
      <alignment horizontal="center" vertical="center" wrapText="1" shrinkToFit="1"/>
    </xf>
    <xf numFmtId="165" fontId="11" fillId="0" borderId="8" xfId="5" applyNumberFormat="1" applyFont="1" applyFill="1" applyBorder="1" applyAlignment="1">
      <alignment horizontal="center" vertical="center" wrapText="1" shrinkToFit="1"/>
    </xf>
    <xf numFmtId="9" fontId="11" fillId="0" borderId="8" xfId="5" applyNumberFormat="1" applyFont="1" applyFill="1" applyBorder="1" applyAlignment="1">
      <alignment horizontal="center" vertical="center" wrapText="1" shrinkToFit="1"/>
    </xf>
    <xf numFmtId="0" fontId="9" fillId="0" borderId="8" xfId="5" applyFont="1" applyFill="1" applyBorder="1" applyAlignment="1">
      <alignment horizontal="left" vertical="center" wrapText="1"/>
    </xf>
    <xf numFmtId="9" fontId="11" fillId="0" borderId="8" xfId="5" applyNumberFormat="1" applyFont="1" applyFill="1" applyBorder="1" applyAlignment="1">
      <alignment horizontal="left" vertical="center" wrapText="1" shrinkToFit="1"/>
    </xf>
    <xf numFmtId="165" fontId="11" fillId="0" borderId="18" xfId="5" applyNumberFormat="1" applyFont="1" applyFill="1" applyBorder="1" applyAlignment="1">
      <alignment horizontal="center" vertical="center" wrapText="1" shrinkToFit="1"/>
    </xf>
    <xf numFmtId="9" fontId="11" fillId="0" borderId="18" xfId="5" applyNumberFormat="1" applyFont="1" applyFill="1" applyBorder="1" applyAlignment="1">
      <alignment horizontal="center" vertical="center" wrapText="1" shrinkToFit="1"/>
    </xf>
    <xf numFmtId="0" fontId="9" fillId="0" borderId="18" xfId="5" applyFont="1" applyFill="1" applyBorder="1" applyAlignment="1">
      <alignment horizontal="left" vertical="center" wrapText="1"/>
    </xf>
    <xf numFmtId="9" fontId="11" fillId="0" borderId="18" xfId="5" applyNumberFormat="1" applyFont="1" applyFill="1" applyBorder="1" applyAlignment="1">
      <alignment horizontal="left" vertical="center" wrapText="1" shrinkToFit="1"/>
    </xf>
    <xf numFmtId="9" fontId="11" fillId="0" borderId="19" xfId="5" applyNumberFormat="1" applyFont="1" applyFill="1" applyBorder="1" applyAlignment="1">
      <alignment horizontal="center" vertical="center" wrapText="1" shrinkToFit="1"/>
    </xf>
    <xf numFmtId="0" fontId="9" fillId="0" borderId="19" xfId="5" applyFont="1" applyFill="1" applyBorder="1" applyAlignment="1">
      <alignment horizontal="left" vertical="center" wrapText="1"/>
    </xf>
    <xf numFmtId="9" fontId="11" fillId="0" borderId="19" xfId="5" applyNumberFormat="1" applyFont="1" applyFill="1" applyBorder="1" applyAlignment="1">
      <alignment horizontal="left" vertical="center" wrapText="1" shrinkToFit="1"/>
    </xf>
    <xf numFmtId="0" fontId="9" fillId="0" borderId="23" xfId="5" applyFont="1" applyFill="1" applyBorder="1" applyAlignment="1">
      <alignment horizontal="left" vertical="center" wrapText="1"/>
    </xf>
    <xf numFmtId="0" fontId="9" fillId="0" borderId="14" xfId="5" applyFont="1" applyFill="1" applyBorder="1" applyAlignment="1">
      <alignment horizontal="left" vertical="center" wrapText="1"/>
    </xf>
    <xf numFmtId="0" fontId="9" fillId="0" borderId="24" xfId="5" applyFont="1" applyFill="1" applyBorder="1" applyAlignment="1">
      <alignment horizontal="left" vertical="center" wrapText="1"/>
    </xf>
    <xf numFmtId="0" fontId="9" fillId="0" borderId="25" xfId="5" applyFont="1" applyFill="1" applyBorder="1" applyAlignment="1">
      <alignment horizontal="left" vertical="center" wrapText="1"/>
    </xf>
    <xf numFmtId="0" fontId="9" fillId="0" borderId="26" xfId="5" applyFont="1" applyFill="1" applyBorder="1" applyAlignment="1">
      <alignment horizontal="left" vertical="center" wrapText="1"/>
    </xf>
    <xf numFmtId="0" fontId="9" fillId="0" borderId="27" xfId="5" applyFont="1" applyFill="1" applyBorder="1" applyAlignment="1">
      <alignment horizontal="left" vertical="center" wrapText="1"/>
    </xf>
    <xf numFmtId="164" fontId="11" fillId="0" borderId="18" xfId="5" applyNumberFormat="1" applyFont="1" applyFill="1" applyBorder="1" applyAlignment="1">
      <alignment horizontal="center" vertical="center" wrapText="1" shrinkToFit="1"/>
    </xf>
    <xf numFmtId="164" fontId="11" fillId="0" borderId="8" xfId="5" applyNumberFormat="1" applyFont="1" applyFill="1" applyBorder="1" applyAlignment="1">
      <alignment horizontal="center" vertical="center" wrapText="1" shrinkToFit="1"/>
    </xf>
    <xf numFmtId="164" fontId="11" fillId="0" borderId="19" xfId="5" applyNumberFormat="1" applyFont="1" applyFill="1" applyBorder="1" applyAlignment="1">
      <alignment horizontal="center" vertical="center" wrapText="1" shrinkToFit="1"/>
    </xf>
    <xf numFmtId="1" fontId="11" fillId="0" borderId="8" xfId="5" applyNumberFormat="1" applyFont="1" applyFill="1" applyBorder="1" applyAlignment="1">
      <alignment horizontal="center" vertical="center" wrapText="1" shrinkToFit="1"/>
    </xf>
    <xf numFmtId="1" fontId="11" fillId="0" borderId="18" xfId="5" applyNumberFormat="1" applyFont="1" applyFill="1" applyBorder="1" applyAlignment="1">
      <alignment horizontal="center" vertical="center" wrapText="1" shrinkToFit="1"/>
    </xf>
    <xf numFmtId="1" fontId="11" fillId="0" borderId="19" xfId="5" applyNumberFormat="1" applyFont="1" applyFill="1" applyBorder="1" applyAlignment="1">
      <alignment horizontal="center" vertical="center" wrapText="1" shrinkToFit="1"/>
    </xf>
    <xf numFmtId="0" fontId="9" fillId="0" borderId="28" xfId="5" applyFont="1" applyFill="1" applyBorder="1" applyAlignment="1">
      <alignment horizontal="left" vertical="center" wrapText="1"/>
    </xf>
    <xf numFmtId="0" fontId="9" fillId="0" borderId="29" xfId="5" applyFont="1" applyFill="1" applyBorder="1" applyAlignment="1">
      <alignment horizontal="left" vertical="center" wrapText="1"/>
    </xf>
    <xf numFmtId="165" fontId="11" fillId="0" borderId="16" xfId="5" applyNumberFormat="1" applyFont="1" applyFill="1" applyBorder="1" applyAlignment="1">
      <alignment horizontal="center" vertical="center" wrapText="1" shrinkToFit="1"/>
    </xf>
    <xf numFmtId="9" fontId="11" fillId="0" borderId="16" xfId="5" applyNumberFormat="1" applyFont="1" applyFill="1" applyBorder="1" applyAlignment="1">
      <alignment horizontal="center" vertical="center" wrapText="1" shrinkToFit="1"/>
    </xf>
    <xf numFmtId="0" fontId="9" fillId="0" borderId="16" xfId="5" applyFont="1" applyFill="1" applyBorder="1" applyAlignment="1">
      <alignment horizontal="left" vertical="center" wrapText="1"/>
    </xf>
    <xf numFmtId="9" fontId="11" fillId="0" borderId="16" xfId="5" applyNumberFormat="1" applyFont="1" applyFill="1" applyBorder="1" applyAlignment="1">
      <alignment horizontal="left" vertical="center" wrapText="1" shrinkToFit="1"/>
    </xf>
    <xf numFmtId="1" fontId="11" fillId="0" borderId="16" xfId="5" applyNumberFormat="1" applyFont="1" applyFill="1" applyBorder="1" applyAlignment="1">
      <alignment horizontal="center" vertical="center" wrapText="1" shrinkToFit="1"/>
    </xf>
    <xf numFmtId="1" fontId="11" fillId="0" borderId="31" xfId="5" applyNumberFormat="1" applyFont="1" applyFill="1" applyBorder="1" applyAlignment="1">
      <alignment horizontal="center" vertical="center" wrapText="1" shrinkToFit="1"/>
    </xf>
    <xf numFmtId="9" fontId="11" fillId="0" borderId="31" xfId="5" applyNumberFormat="1" applyFont="1" applyFill="1" applyBorder="1" applyAlignment="1">
      <alignment horizontal="center" vertical="center" wrapText="1" shrinkToFit="1"/>
    </xf>
    <xf numFmtId="0" fontId="9" fillId="0" borderId="37" xfId="5" applyFont="1" applyFill="1" applyBorder="1" applyAlignment="1">
      <alignment horizontal="left" vertical="center" wrapText="1"/>
    </xf>
    <xf numFmtId="0" fontId="9" fillId="0" borderId="34" xfId="5" applyFont="1" applyFill="1" applyBorder="1" applyAlignment="1">
      <alignment horizontal="left" vertical="center" wrapText="1"/>
    </xf>
    <xf numFmtId="0" fontId="9" fillId="0" borderId="38" xfId="5" applyFont="1" applyFill="1" applyBorder="1" applyAlignment="1">
      <alignment horizontal="left" vertical="center" wrapText="1"/>
    </xf>
    <xf numFmtId="0" fontId="9" fillId="0" borderId="39" xfId="5" applyFont="1" applyFill="1" applyBorder="1" applyAlignment="1">
      <alignment horizontal="left" vertical="center" wrapText="1"/>
    </xf>
    <xf numFmtId="1" fontId="11" fillId="0" borderId="35" xfId="5" applyNumberFormat="1" applyFont="1" applyFill="1" applyBorder="1" applyAlignment="1">
      <alignment horizontal="center" vertical="center" wrapText="1" shrinkToFit="1"/>
    </xf>
    <xf numFmtId="9" fontId="11" fillId="0" borderId="35" xfId="5" applyNumberFormat="1" applyFont="1" applyFill="1" applyBorder="1" applyAlignment="1">
      <alignment horizontal="center" vertical="center" wrapText="1" shrinkToFit="1"/>
    </xf>
    <xf numFmtId="0" fontId="9" fillId="0" borderId="35" xfId="5" applyFont="1" applyFill="1" applyBorder="1" applyAlignment="1">
      <alignment horizontal="left" vertical="center" wrapText="1"/>
    </xf>
    <xf numFmtId="9" fontId="11" fillId="0" borderId="35" xfId="5" applyNumberFormat="1" applyFont="1" applyFill="1" applyBorder="1" applyAlignment="1">
      <alignment horizontal="left" vertical="center" wrapText="1" shrinkToFit="1"/>
    </xf>
    <xf numFmtId="0" fontId="14" fillId="0" borderId="31" xfId="5" applyFont="1" applyFill="1" applyBorder="1" applyAlignment="1">
      <alignment horizontal="left" vertical="center" wrapText="1"/>
    </xf>
    <xf numFmtId="9" fontId="14" fillId="0" borderId="31" xfId="5" applyNumberFormat="1" applyFont="1" applyFill="1" applyBorder="1" applyAlignment="1">
      <alignment horizontal="left" vertical="center" wrapText="1"/>
    </xf>
    <xf numFmtId="0" fontId="14" fillId="0" borderId="35" xfId="5" applyFont="1" applyFill="1" applyBorder="1" applyAlignment="1">
      <alignment horizontal="left" vertical="center" wrapText="1"/>
    </xf>
    <xf numFmtId="9" fontId="14" fillId="0" borderId="35" xfId="5" applyNumberFormat="1" applyFont="1" applyFill="1" applyBorder="1" applyAlignment="1">
      <alignment horizontal="left" vertical="center" wrapText="1"/>
    </xf>
    <xf numFmtId="165" fontId="0" fillId="0" borderId="0" xfId="0" applyNumberFormat="1"/>
    <xf numFmtId="164" fontId="11" fillId="0" borderId="18" xfId="1" applyNumberFormat="1" applyFont="1" applyBorder="1" applyAlignment="1">
      <alignment horizontal="center" vertical="center" wrapText="1" shrinkToFit="1"/>
    </xf>
    <xf numFmtId="164" fontId="11" fillId="0" borderId="8" xfId="1" applyNumberFormat="1" applyFont="1" applyBorder="1" applyAlignment="1">
      <alignment horizontal="center" vertical="center" wrapText="1" shrinkToFit="1"/>
    </xf>
    <xf numFmtId="164" fontId="11" fillId="0" borderId="16" xfId="1" applyNumberFormat="1" applyFont="1" applyBorder="1" applyAlignment="1">
      <alignment horizontal="center" vertical="center" wrapText="1" shrinkToFit="1"/>
    </xf>
    <xf numFmtId="164" fontId="11" fillId="0" borderId="31" xfId="1" applyNumberFormat="1" applyFont="1" applyBorder="1" applyAlignment="1">
      <alignment horizontal="center" vertical="center" wrapText="1" shrinkToFit="1"/>
    </xf>
    <xf numFmtId="0" fontId="10" fillId="0" borderId="42" xfId="0" applyFont="1" applyBorder="1" applyAlignment="1">
      <alignment horizontal="left" vertical="center" wrapText="1"/>
    </xf>
    <xf numFmtId="164" fontId="11" fillId="0" borderId="40" xfId="1" applyNumberFormat="1" applyFont="1" applyBorder="1" applyAlignment="1">
      <alignment horizontal="center" vertical="center" wrapText="1" shrinkToFit="1"/>
    </xf>
    <xf numFmtId="2" fontId="0" fillId="0" borderId="40" xfId="0" applyNumberFormat="1" applyBorder="1" applyAlignment="1">
      <alignment horizontal="left" vertical="center" wrapText="1"/>
    </xf>
    <xf numFmtId="2" fontId="0" fillId="0" borderId="40" xfId="0" applyNumberFormat="1" applyBorder="1" applyAlignment="1">
      <alignment horizontal="center" vertical="center" wrapText="1"/>
    </xf>
    <xf numFmtId="2" fontId="0" fillId="0" borderId="43" xfId="0" applyNumberFormat="1" applyBorder="1" applyAlignment="1">
      <alignment horizontal="center" vertical="center" wrapText="1"/>
    </xf>
    <xf numFmtId="164" fontId="11" fillId="0" borderId="8" xfId="1" applyNumberFormat="1" applyFont="1" applyFill="1" applyBorder="1" applyAlignment="1">
      <alignment horizontal="center" vertical="center" wrapText="1" shrinkToFit="1"/>
    </xf>
    <xf numFmtId="164" fontId="11" fillId="0" borderId="18" xfId="1" applyNumberFormat="1" applyFont="1" applyFill="1" applyBorder="1" applyAlignment="1">
      <alignment horizontal="center" vertical="center" wrapText="1" shrinkToFit="1"/>
    </xf>
    <xf numFmtId="164" fontId="11" fillId="0" borderId="19" xfId="1" applyNumberFormat="1" applyFont="1" applyFill="1" applyBorder="1" applyAlignment="1">
      <alignment horizontal="center" vertical="center" wrapText="1" shrinkToFit="1"/>
    </xf>
    <xf numFmtId="164" fontId="11" fillId="0" borderId="16" xfId="1" applyNumberFormat="1" applyFont="1" applyFill="1" applyBorder="1" applyAlignment="1">
      <alignment horizontal="center" vertical="center" wrapText="1" shrinkToFit="1"/>
    </xf>
    <xf numFmtId="164" fontId="11" fillId="0" borderId="8" xfId="0" applyNumberFormat="1" applyFont="1" applyFill="1" applyBorder="1" applyAlignment="1">
      <alignment horizontal="center" vertical="center" wrapText="1" shrinkToFit="1"/>
    </xf>
    <xf numFmtId="164" fontId="11" fillId="0" borderId="18" xfId="0" applyNumberFormat="1" applyFont="1" applyFill="1" applyBorder="1" applyAlignment="1">
      <alignment horizontal="center" vertical="center" wrapText="1" shrinkToFit="1"/>
    </xf>
    <xf numFmtId="164" fontId="11" fillId="0" borderId="16" xfId="0" applyNumberFormat="1" applyFont="1" applyFill="1" applyBorder="1" applyAlignment="1">
      <alignment horizontal="center" vertical="center" wrapText="1" shrinkToFit="1"/>
    </xf>
    <xf numFmtId="164" fontId="11" fillId="0" borderId="31" xfId="0" applyNumberFormat="1" applyFont="1" applyFill="1" applyBorder="1" applyAlignment="1">
      <alignment horizontal="center" vertical="center" wrapText="1" shrinkToFit="1"/>
    </xf>
    <xf numFmtId="9" fontId="6" fillId="0" borderId="31" xfId="0" applyNumberFormat="1" applyFont="1" applyFill="1" applyBorder="1" applyAlignment="1">
      <alignment horizontal="left" vertical="center" wrapText="1"/>
    </xf>
    <xf numFmtId="0" fontId="6" fillId="0" borderId="31" xfId="0" applyFont="1" applyFill="1" applyBorder="1" applyAlignment="1">
      <alignment horizontal="left" vertical="center" wrapText="1"/>
    </xf>
    <xf numFmtId="164" fontId="11" fillId="0" borderId="35" xfId="0" applyNumberFormat="1" applyFont="1" applyFill="1" applyBorder="1" applyAlignment="1">
      <alignment horizontal="center" vertical="center" wrapText="1" shrinkToFit="1"/>
    </xf>
    <xf numFmtId="0" fontId="9" fillId="0" borderId="35" xfId="0" applyFont="1" applyFill="1" applyBorder="1" applyAlignment="1">
      <alignment horizontal="left" vertical="center" wrapText="1"/>
    </xf>
    <xf numFmtId="9" fontId="6" fillId="0" borderId="35" xfId="0" applyNumberFormat="1" applyFont="1" applyFill="1" applyBorder="1" applyAlignment="1">
      <alignment horizontal="left" vertical="center" wrapText="1"/>
    </xf>
    <xf numFmtId="0" fontId="6" fillId="0" borderId="35" xfId="0" applyFont="1" applyFill="1" applyBorder="1" applyAlignment="1">
      <alignment horizontal="left" vertical="center" wrapText="1"/>
    </xf>
    <xf numFmtId="164" fontId="6" fillId="0" borderId="8" xfId="0" applyNumberFormat="1" applyFont="1" applyFill="1" applyBorder="1" applyAlignment="1">
      <alignment horizontal="center" vertical="center" wrapText="1"/>
    </xf>
    <xf numFmtId="164" fontId="6" fillId="0" borderId="18" xfId="0" applyNumberFormat="1" applyFont="1" applyFill="1" applyBorder="1" applyAlignment="1">
      <alignment horizontal="center" vertical="center" wrapText="1"/>
    </xf>
    <xf numFmtId="164" fontId="6" fillId="0" borderId="19" xfId="0" applyNumberFormat="1" applyFont="1" applyFill="1" applyBorder="1" applyAlignment="1">
      <alignment horizontal="center" vertical="center" wrapText="1"/>
    </xf>
    <xf numFmtId="164" fontId="6" fillId="0" borderId="16" xfId="0" applyNumberFormat="1" applyFont="1" applyFill="1" applyBorder="1" applyAlignment="1">
      <alignment horizontal="center" vertical="center" wrapText="1"/>
    </xf>
    <xf numFmtId="164" fontId="6" fillId="0" borderId="31" xfId="0" applyNumberFormat="1" applyFont="1" applyFill="1" applyBorder="1" applyAlignment="1">
      <alignment horizontal="center" vertical="center" wrapText="1"/>
    </xf>
    <xf numFmtId="164" fontId="6" fillId="0" borderId="35" xfId="0" applyNumberFormat="1" applyFont="1" applyFill="1" applyBorder="1" applyAlignment="1">
      <alignment horizontal="center" vertical="center" wrapText="1"/>
    </xf>
    <xf numFmtId="9" fontId="11" fillId="0" borderId="35" xfId="0" applyNumberFormat="1" applyFont="1" applyFill="1" applyBorder="1" applyAlignment="1">
      <alignment horizontal="left" vertical="center" wrapText="1" shrinkToFit="1"/>
    </xf>
    <xf numFmtId="9" fontId="9" fillId="0" borderId="31" xfId="0" applyNumberFormat="1" applyFont="1" applyFill="1" applyBorder="1" applyAlignment="1">
      <alignment horizontal="left" vertical="center" wrapText="1"/>
    </xf>
    <xf numFmtId="9" fontId="9" fillId="0" borderId="35" xfId="0" applyNumberFormat="1" applyFont="1" applyFill="1" applyBorder="1" applyAlignment="1">
      <alignment horizontal="left" vertical="center" wrapText="1"/>
    </xf>
    <xf numFmtId="164" fontId="4" fillId="0" borderId="8" xfId="0" applyNumberFormat="1" applyFont="1" applyFill="1" applyBorder="1" applyAlignment="1">
      <alignment horizontal="center" vertical="center" wrapText="1"/>
    </xf>
    <xf numFmtId="164" fontId="4" fillId="0" borderId="19" xfId="0" applyNumberFormat="1" applyFont="1" applyFill="1" applyBorder="1" applyAlignment="1">
      <alignment horizontal="center" vertical="center" wrapText="1"/>
    </xf>
    <xf numFmtId="164" fontId="4" fillId="0" borderId="18" xfId="0" applyNumberFormat="1" applyFont="1" applyFill="1" applyBorder="1" applyAlignment="1">
      <alignment horizontal="center" vertical="center" wrapText="1"/>
    </xf>
    <xf numFmtId="164" fontId="4" fillId="0" borderId="16" xfId="0" applyNumberFormat="1" applyFont="1" applyFill="1" applyBorder="1" applyAlignment="1">
      <alignment horizontal="center" vertical="center" wrapText="1"/>
    </xf>
    <xf numFmtId="9" fontId="4" fillId="0" borderId="16" xfId="1" applyNumberFormat="1" applyFont="1" applyFill="1" applyBorder="1" applyAlignment="1">
      <alignment horizontal="left" vertical="center" wrapText="1"/>
    </xf>
    <xf numFmtId="9" fontId="4" fillId="0" borderId="8" xfId="1" applyNumberFormat="1" applyFont="1" applyFill="1" applyBorder="1" applyAlignment="1">
      <alignment horizontal="left" vertical="center" wrapText="1"/>
    </xf>
    <xf numFmtId="9" fontId="4" fillId="0" borderId="18" xfId="1" applyNumberFormat="1" applyFont="1" applyFill="1" applyBorder="1" applyAlignment="1">
      <alignment horizontal="left" vertical="center" wrapText="1"/>
    </xf>
    <xf numFmtId="1" fontId="4" fillId="0" borderId="18" xfId="0" applyNumberFormat="1" applyFont="1" applyFill="1" applyBorder="1" applyAlignment="1">
      <alignment horizontal="center" vertical="center" wrapText="1"/>
    </xf>
    <xf numFmtId="1" fontId="4" fillId="0" borderId="8" xfId="0" applyNumberFormat="1" applyFont="1" applyFill="1" applyBorder="1" applyAlignment="1">
      <alignment horizontal="center" vertical="center" wrapText="1"/>
    </xf>
    <xf numFmtId="1" fontId="4" fillId="0" borderId="16" xfId="0" applyNumberFormat="1" applyFont="1" applyFill="1" applyBorder="1" applyAlignment="1">
      <alignment horizontal="center" vertical="center" wrapText="1"/>
    </xf>
    <xf numFmtId="0" fontId="4" fillId="0" borderId="31" xfId="0" applyFont="1" applyFill="1" applyBorder="1" applyAlignment="1">
      <alignment horizontal="left" vertical="center" wrapText="1"/>
    </xf>
    <xf numFmtId="0" fontId="4" fillId="0" borderId="31" xfId="0" applyFont="1" applyFill="1" applyBorder="1" applyAlignment="1">
      <alignment horizontal="center" vertical="center" wrapText="1"/>
    </xf>
    <xf numFmtId="164" fontId="4" fillId="0" borderId="31" xfId="0" applyNumberFormat="1" applyFont="1" applyFill="1" applyBorder="1" applyAlignment="1">
      <alignment horizontal="center" vertical="center" wrapText="1"/>
    </xf>
    <xf numFmtId="9" fontId="4" fillId="0" borderId="31" xfId="0" applyNumberFormat="1" applyFont="1" applyFill="1" applyBorder="1" applyAlignment="1">
      <alignment horizontal="center" vertical="center" wrapText="1"/>
    </xf>
    <xf numFmtId="9" fontId="4" fillId="0" borderId="31" xfId="0" applyNumberFormat="1" applyFont="1" applyFill="1" applyBorder="1" applyAlignment="1">
      <alignment horizontal="left" vertical="center" wrapText="1"/>
    </xf>
    <xf numFmtId="2" fontId="4" fillId="0" borderId="31" xfId="0" applyNumberFormat="1" applyFont="1" applyFill="1" applyBorder="1" applyAlignment="1">
      <alignment horizontal="left" vertical="center" wrapText="1"/>
    </xf>
    <xf numFmtId="2" fontId="4" fillId="0" borderId="31" xfId="0" applyNumberFormat="1" applyFont="1" applyFill="1" applyBorder="1" applyAlignment="1">
      <alignment horizontal="center" vertical="center" wrapText="1"/>
    </xf>
    <xf numFmtId="0" fontId="4" fillId="0" borderId="37" xfId="0" applyFont="1" applyFill="1" applyBorder="1" applyAlignment="1">
      <alignment horizontal="left" vertical="center" wrapText="1"/>
    </xf>
    <xf numFmtId="0" fontId="4" fillId="0" borderId="34" xfId="0" applyFont="1" applyFill="1" applyBorder="1" applyAlignment="1">
      <alignment horizontal="left" vertical="center" wrapText="1"/>
    </xf>
    <xf numFmtId="0" fontId="4" fillId="0" borderId="38" xfId="0" applyFont="1" applyFill="1" applyBorder="1" applyAlignment="1">
      <alignment horizontal="left" vertical="center" wrapText="1"/>
    </xf>
    <xf numFmtId="0" fontId="4" fillId="0" borderId="39" xfId="0" applyFont="1" applyFill="1" applyBorder="1" applyAlignment="1">
      <alignment horizontal="left" vertical="center" wrapText="1"/>
    </xf>
    <xf numFmtId="0" fontId="4" fillId="0" borderId="35" xfId="0" applyFont="1" applyFill="1" applyBorder="1" applyAlignment="1">
      <alignment horizontal="center" vertical="center" wrapText="1"/>
    </xf>
    <xf numFmtId="164" fontId="4" fillId="0" borderId="35" xfId="0" applyNumberFormat="1" applyFont="1" applyFill="1" applyBorder="1" applyAlignment="1">
      <alignment horizontal="center" vertical="center" wrapText="1"/>
    </xf>
    <xf numFmtId="9" fontId="4" fillId="0" borderId="35" xfId="0" applyNumberFormat="1" applyFont="1" applyFill="1" applyBorder="1" applyAlignment="1">
      <alignment horizontal="center" vertical="center" wrapText="1"/>
    </xf>
    <xf numFmtId="0" fontId="4" fillId="0" borderId="35" xfId="0" applyFont="1" applyFill="1" applyBorder="1" applyAlignment="1">
      <alignment horizontal="left" vertical="center" wrapText="1"/>
    </xf>
    <xf numFmtId="9" fontId="4" fillId="0" borderId="35" xfId="0" applyNumberFormat="1" applyFont="1" applyFill="1" applyBorder="1" applyAlignment="1">
      <alignment horizontal="left" vertical="center" wrapText="1"/>
    </xf>
    <xf numFmtId="2" fontId="4" fillId="0" borderId="35" xfId="0" applyNumberFormat="1" applyFont="1" applyFill="1" applyBorder="1" applyAlignment="1">
      <alignment horizontal="left" vertical="center" wrapText="1"/>
    </xf>
    <xf numFmtId="2" fontId="4" fillId="0" borderId="35" xfId="0" applyNumberFormat="1" applyFont="1" applyFill="1" applyBorder="1" applyAlignment="1">
      <alignment horizontal="center" vertical="center" wrapText="1"/>
    </xf>
    <xf numFmtId="0" fontId="10" fillId="0" borderId="8" xfId="5" applyFont="1" applyFill="1" applyBorder="1" applyAlignment="1">
      <alignment horizontal="left" vertical="center" wrapText="1"/>
    </xf>
    <xf numFmtId="164" fontId="11" fillId="0" borderId="16" xfId="5" applyNumberFormat="1" applyFont="1" applyFill="1" applyBorder="1" applyAlignment="1">
      <alignment horizontal="center" vertical="center" wrapText="1" shrinkToFit="1"/>
    </xf>
    <xf numFmtId="164" fontId="6" fillId="0" borderId="18" xfId="1" applyNumberFormat="1" applyFont="1" applyBorder="1" applyAlignment="1">
      <alignment horizontal="center" vertical="center" wrapText="1" shrinkToFit="1"/>
    </xf>
    <xf numFmtId="164" fontId="6" fillId="0" borderId="8" xfId="1" applyNumberFormat="1" applyFont="1" applyBorder="1" applyAlignment="1">
      <alignment horizontal="center" vertical="center" wrapText="1" shrinkToFit="1"/>
    </xf>
    <xf numFmtId="164" fontId="6" fillId="0" borderId="19" xfId="1" applyNumberFormat="1" applyFont="1" applyBorder="1" applyAlignment="1">
      <alignment horizontal="center" vertical="center" wrapText="1" shrinkToFit="1"/>
    </xf>
    <xf numFmtId="164" fontId="6" fillId="0" borderId="40" xfId="1" applyNumberFormat="1" applyFont="1" applyBorder="1" applyAlignment="1">
      <alignment horizontal="center" vertical="center" wrapText="1" shrinkToFit="1"/>
    </xf>
    <xf numFmtId="164" fontId="6" fillId="0" borderId="16" xfId="1" applyNumberFormat="1" applyFont="1" applyBorder="1" applyAlignment="1">
      <alignment horizontal="center" vertical="center" wrapText="1" shrinkToFit="1"/>
    </xf>
    <xf numFmtId="164" fontId="4" fillId="0" borderId="18" xfId="1" applyNumberFormat="1" applyFont="1" applyFill="1" applyBorder="1" applyAlignment="1">
      <alignment horizontal="center" vertical="center" wrapText="1"/>
    </xf>
    <xf numFmtId="164" fontId="4" fillId="0" borderId="8" xfId="1" applyNumberFormat="1" applyFont="1" applyFill="1" applyBorder="1" applyAlignment="1">
      <alignment horizontal="center" vertical="center" wrapText="1"/>
    </xf>
    <xf numFmtId="164" fontId="4" fillId="0" borderId="16" xfId="1" applyNumberFormat="1" applyFont="1" applyFill="1" applyBorder="1" applyAlignment="1">
      <alignment horizontal="center" vertical="center" wrapText="1"/>
    </xf>
    <xf numFmtId="164" fontId="6" fillId="0" borderId="18" xfId="0" applyNumberFormat="1" applyFont="1" applyBorder="1" applyAlignment="1">
      <alignment horizontal="center" vertical="center" wrapText="1"/>
    </xf>
    <xf numFmtId="164" fontId="6" fillId="0" borderId="8" xfId="0" applyNumberFormat="1" applyFont="1" applyBorder="1" applyAlignment="1">
      <alignment horizontal="center" vertical="center" wrapText="1"/>
    </xf>
    <xf numFmtId="164" fontId="6" fillId="0" borderId="19" xfId="0" applyNumberFormat="1" applyFont="1" applyBorder="1" applyAlignment="1">
      <alignment horizontal="center" vertical="center" wrapText="1"/>
    </xf>
    <xf numFmtId="0" fontId="5" fillId="0" borderId="8" xfId="0" applyFont="1" applyFill="1" applyBorder="1" applyAlignment="1">
      <alignment horizontal="left" vertical="center" wrapText="1"/>
    </xf>
    <xf numFmtId="0" fontId="5" fillId="0" borderId="18" xfId="0" applyFont="1" applyFill="1" applyBorder="1" applyAlignment="1">
      <alignment horizontal="left" vertical="center" wrapText="1"/>
    </xf>
    <xf numFmtId="0" fontId="5" fillId="0" borderId="8" xfId="0" applyFont="1" applyFill="1" applyBorder="1" applyAlignment="1">
      <alignment horizontal="center" vertical="center" wrapText="1"/>
    </xf>
    <xf numFmtId="164" fontId="5" fillId="0" borderId="8" xfId="0" applyNumberFormat="1" applyFont="1" applyFill="1" applyBorder="1" applyAlignment="1">
      <alignment horizontal="center" vertical="center" wrapText="1"/>
    </xf>
    <xf numFmtId="9" fontId="5" fillId="0" borderId="8" xfId="0" applyNumberFormat="1" applyFont="1" applyFill="1" applyBorder="1" applyAlignment="1">
      <alignment horizontal="center" vertical="center" wrapText="1"/>
    </xf>
    <xf numFmtId="2" fontId="5" fillId="0" borderId="8" xfId="0" applyNumberFormat="1" applyFont="1" applyFill="1" applyBorder="1" applyAlignment="1">
      <alignment horizontal="center" vertical="center" wrapText="1"/>
    </xf>
    <xf numFmtId="9" fontId="5" fillId="0" borderId="8" xfId="0" applyNumberFormat="1" applyFont="1" applyFill="1" applyBorder="1" applyAlignment="1">
      <alignment horizontal="left" vertical="center" wrapText="1"/>
    </xf>
    <xf numFmtId="2" fontId="5" fillId="0" borderId="8" xfId="0" applyNumberFormat="1" applyFont="1" applyFill="1" applyBorder="1" applyAlignment="1">
      <alignment horizontal="left" vertical="center" wrapText="1"/>
    </xf>
    <xf numFmtId="0" fontId="5" fillId="0" borderId="18" xfId="0" applyFont="1" applyFill="1" applyBorder="1" applyAlignment="1">
      <alignment horizontal="center" vertical="center" wrapText="1"/>
    </xf>
    <xf numFmtId="164" fontId="5" fillId="0" borderId="18" xfId="0" applyNumberFormat="1" applyFont="1" applyFill="1" applyBorder="1" applyAlignment="1">
      <alignment horizontal="center" vertical="center" wrapText="1"/>
    </xf>
    <xf numFmtId="9" fontId="5" fillId="0" borderId="18" xfId="0" applyNumberFormat="1" applyFont="1" applyFill="1" applyBorder="1" applyAlignment="1">
      <alignment horizontal="center" vertical="center" wrapText="1"/>
    </xf>
    <xf numFmtId="9" fontId="5" fillId="0" borderId="18" xfId="0" applyNumberFormat="1" applyFont="1" applyFill="1" applyBorder="1" applyAlignment="1">
      <alignment horizontal="left" vertical="center" wrapText="1"/>
    </xf>
    <xf numFmtId="2" fontId="5" fillId="0" borderId="18" xfId="0" applyNumberFormat="1" applyFont="1" applyFill="1" applyBorder="1" applyAlignment="1">
      <alignment horizontal="left" vertical="center" wrapText="1"/>
    </xf>
    <xf numFmtId="2" fontId="5" fillId="0" borderId="18" xfId="0" applyNumberFormat="1" applyFont="1" applyFill="1" applyBorder="1" applyAlignment="1">
      <alignment horizontal="center" vertical="center" wrapText="1"/>
    </xf>
    <xf numFmtId="0" fontId="5" fillId="0" borderId="23" xfId="0" applyFont="1" applyFill="1" applyBorder="1" applyAlignment="1">
      <alignment horizontal="left" vertical="center" wrapText="1"/>
    </xf>
    <xf numFmtId="0" fontId="5" fillId="0" borderId="14" xfId="0" applyFont="1" applyFill="1" applyBorder="1" applyAlignment="1">
      <alignment horizontal="left" vertical="center" wrapText="1"/>
    </xf>
    <xf numFmtId="0" fontId="5" fillId="0" borderId="25" xfId="0" applyFont="1" applyFill="1" applyBorder="1" applyAlignment="1">
      <alignment horizontal="left" vertical="center" wrapText="1"/>
    </xf>
    <xf numFmtId="0" fontId="5" fillId="0" borderId="26" xfId="0" applyFont="1" applyFill="1" applyBorder="1" applyAlignment="1">
      <alignment horizontal="left" vertical="center" wrapText="1"/>
    </xf>
    <xf numFmtId="0" fontId="5" fillId="0" borderId="28" xfId="0" applyFont="1" applyFill="1" applyBorder="1" applyAlignment="1">
      <alignment horizontal="left" vertical="center" wrapText="1"/>
    </xf>
    <xf numFmtId="0" fontId="5" fillId="0" borderId="29" xfId="0" applyFont="1" applyFill="1" applyBorder="1" applyAlignment="1">
      <alignment horizontal="left" vertical="center" wrapText="1"/>
    </xf>
    <xf numFmtId="0" fontId="5" fillId="0" borderId="16" xfId="0" applyFont="1" applyFill="1" applyBorder="1" applyAlignment="1">
      <alignment horizontal="center" vertical="center" wrapText="1"/>
    </xf>
    <xf numFmtId="164" fontId="5" fillId="0" borderId="16" xfId="0" applyNumberFormat="1" applyFont="1" applyFill="1" applyBorder="1" applyAlignment="1">
      <alignment horizontal="center" vertical="center" wrapText="1"/>
    </xf>
    <xf numFmtId="9" fontId="5" fillId="0" borderId="16" xfId="0" applyNumberFormat="1" applyFont="1" applyFill="1" applyBorder="1" applyAlignment="1">
      <alignment horizontal="center" vertical="center" wrapText="1"/>
    </xf>
    <xf numFmtId="0" fontId="5" fillId="0" borderId="16" xfId="0" applyFont="1" applyFill="1" applyBorder="1" applyAlignment="1">
      <alignment horizontal="left" vertical="center" wrapText="1"/>
    </xf>
    <xf numFmtId="9" fontId="5" fillId="0" borderId="16" xfId="0" applyNumberFormat="1" applyFont="1" applyFill="1" applyBorder="1" applyAlignment="1">
      <alignment horizontal="left" vertical="center" wrapText="1"/>
    </xf>
    <xf numFmtId="2" fontId="5" fillId="0" borderId="16" xfId="0" applyNumberFormat="1" applyFont="1" applyFill="1" applyBorder="1" applyAlignment="1">
      <alignment horizontal="left" vertical="center" wrapText="1"/>
    </xf>
    <xf numFmtId="2" fontId="5" fillId="0" borderId="16" xfId="0" applyNumberFormat="1" applyFont="1" applyFill="1" applyBorder="1" applyAlignment="1">
      <alignment horizontal="center" vertical="center" wrapText="1"/>
    </xf>
  </cellXfs>
  <cellStyles count="6">
    <cellStyle name="Normal" xfId="0" builtinId="0"/>
    <cellStyle name="Normal 2" xfId="2" xr:uid="{D3640502-02AD-4D34-B622-D29C3673BED8}"/>
    <cellStyle name="Normal 3" xfId="3" xr:uid="{B503614F-C58F-4318-B770-D0C2C0986BE7}"/>
    <cellStyle name="Normal 4" xfId="4" xr:uid="{4894CD4B-9CB3-4891-BFA9-B96B2D527BA1}"/>
    <cellStyle name="Normal 5" xfId="5" xr:uid="{5F8EA2DC-90A5-4C80-AB6F-F1F5CE4A0443}"/>
    <cellStyle name="Percent" xfId="1" builtinId="5"/>
  </cellStyles>
  <dxfs count="4400"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FF2CC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>
          <bgColor rgb="FFFCE5CD"/>
        </patternFill>
      </fill>
    </dxf>
    <dxf>
      <fill>
        <patternFill>
          <bgColor rgb="FFD9EAD3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F4CCCA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A1DFA-5932-442C-8E57-326787258CB2}">
  <sheetPr codeName="Sheet2"/>
  <dimension ref="A1:Q21"/>
  <sheetViews>
    <sheetView zoomScale="86" zoomScaleNormal="93" workbookViewId="0">
      <selection activeCell="D2" sqref="D2:D20"/>
    </sheetView>
  </sheetViews>
  <sheetFormatPr defaultRowHeight="13.2"/>
  <cols>
    <col min="1" max="1" width="14.21875" style="8" customWidth="1"/>
    <col min="2" max="2" width="37.77734375" bestFit="1" customWidth="1"/>
    <col min="3" max="4" width="10" customWidth="1"/>
    <col min="5" max="5" width="11.44140625" customWidth="1"/>
    <col min="6" max="6" width="20.21875" customWidth="1"/>
    <col min="7" max="7" width="11" customWidth="1"/>
    <col min="8" max="8" width="38" customWidth="1"/>
    <col min="9" max="9" width="8.77734375" customWidth="1"/>
    <col min="10" max="10" width="9" hidden="1" customWidth="1"/>
    <col min="11" max="11" width="10.33203125" hidden="1" customWidth="1"/>
    <col min="12" max="12" width="24.5546875" customWidth="1"/>
    <col min="13" max="13" width="26.88671875" hidden="1" customWidth="1"/>
    <col min="14" max="14" width="24.88671875" hidden="1" customWidth="1"/>
    <col min="15" max="15" width="22.33203125" customWidth="1"/>
    <col min="16" max="16" width="23.21875" hidden="1" customWidth="1"/>
    <col min="17" max="17" width="8.88671875" hidden="1" customWidth="1"/>
  </cols>
  <sheetData>
    <row r="1" spans="1:16" ht="27.6" thickTop="1" thickBot="1">
      <c r="A1" s="58" t="s">
        <v>65</v>
      </c>
      <c r="B1" s="59" t="s">
        <v>1</v>
      </c>
      <c r="C1" s="59" t="s">
        <v>0</v>
      </c>
      <c r="D1" s="59" t="s">
        <v>502</v>
      </c>
      <c r="E1" s="59" t="s">
        <v>92</v>
      </c>
      <c r="F1" s="99" t="s">
        <v>224</v>
      </c>
      <c r="G1" s="99"/>
      <c r="H1" s="99"/>
      <c r="I1" s="59" t="s">
        <v>2</v>
      </c>
      <c r="J1" s="59" t="s">
        <v>3</v>
      </c>
      <c r="K1" s="59" t="s">
        <v>4</v>
      </c>
      <c r="L1" s="59" t="s">
        <v>5</v>
      </c>
      <c r="M1" s="59" t="s">
        <v>193</v>
      </c>
      <c r="N1" s="59" t="s">
        <v>7</v>
      </c>
      <c r="O1" s="59" t="s">
        <v>194</v>
      </c>
      <c r="P1" s="60" t="s">
        <v>195</v>
      </c>
    </row>
    <row r="2" spans="1:16" ht="13.2" customHeight="1" thickTop="1">
      <c r="A2" s="79" t="s">
        <v>180</v>
      </c>
      <c r="B2" s="82" t="s">
        <v>181</v>
      </c>
      <c r="C2" s="85">
        <v>10</v>
      </c>
      <c r="D2" s="348">
        <f>C2/60</f>
        <v>0.16666666666666666</v>
      </c>
      <c r="E2" s="88">
        <v>0.4</v>
      </c>
      <c r="F2" s="16" t="s">
        <v>17</v>
      </c>
      <c r="G2" s="15">
        <v>0.6</v>
      </c>
      <c r="H2" s="16" t="s">
        <v>182</v>
      </c>
      <c r="I2" s="17"/>
      <c r="J2" s="69">
        <f>IF(G2=1, I2, SUMPRODUCT(I2:I5, G2:G5))</f>
        <v>0</v>
      </c>
      <c r="K2" s="69">
        <f>SUMIF(I2:I5, "&lt;&gt;", G2:G5) / SUMIF(G2:G5, "&lt;&gt;")</f>
        <v>0</v>
      </c>
      <c r="L2" s="69" t="str">
        <f>IFERROR(J2/K2, "No grades yet")</f>
        <v>No grades yet</v>
      </c>
      <c r="M2" s="69">
        <f>IFERROR(IF(K2 = 1, "Completed module", IF(((70 - J2) / (1 - K2)) &gt; 100, "Unattainable", IF(((70 - J2) / (1 - K2)) &lt; 0, "Already attained", ((70 - J2) / (1 - K2))))), "-")</f>
        <v>70</v>
      </c>
      <c r="N2" s="69">
        <f>IFERROR(IF(K2 = 1, "Completed module", IF(((60 - J2) / (1 - K2)) &gt; 100, "Unattainable", IF(((60 - J2) / (1 - K2)) &lt; 0, "Already attained", ((60 - J2) / (1 - K2))))), "-")</f>
        <v>60</v>
      </c>
      <c r="O2" s="69">
        <f>IFERROR(IF(K2 = 1, "Completed module", IF(((50 - J2) / (1 - K2)) &gt; 100, "Unattainable", IF(((50 - J2) / (1 - K2)) &lt; 0, "Already attained", ((50 - J2) / (1 - K2))))), "-")</f>
        <v>50</v>
      </c>
      <c r="P2" s="71">
        <f>IFERROR(IF(K2 = 1, "Completed module", IF(((40 - J2) / (1 - K2)) &gt; 100, "Unattainable", IF(((40 - J2) / (1 - K2)) &lt; 0, "Already attained", ((40 - J2) / (1 - K2))))), "-")</f>
        <v>40</v>
      </c>
    </row>
    <row r="3" spans="1:16">
      <c r="A3" s="80"/>
      <c r="B3" s="83"/>
      <c r="C3" s="86"/>
      <c r="D3" s="349"/>
      <c r="E3" s="89"/>
      <c r="F3" s="10" t="s">
        <v>155</v>
      </c>
      <c r="G3" s="9">
        <v>0.3</v>
      </c>
      <c r="H3" s="10" t="s">
        <v>183</v>
      </c>
      <c r="I3" s="11"/>
      <c r="J3" s="73"/>
      <c r="K3" s="73"/>
      <c r="L3" s="73"/>
      <c r="M3" s="73"/>
      <c r="N3" s="73"/>
      <c r="O3" s="73"/>
      <c r="P3" s="75"/>
    </row>
    <row r="4" spans="1:16">
      <c r="A4" s="80"/>
      <c r="B4" s="83"/>
      <c r="C4" s="86"/>
      <c r="D4" s="349"/>
      <c r="E4" s="89"/>
      <c r="F4" s="10" t="s">
        <v>20</v>
      </c>
      <c r="G4" s="9">
        <v>0</v>
      </c>
      <c r="H4" s="10" t="s">
        <v>184</v>
      </c>
      <c r="I4" s="12"/>
      <c r="J4" s="73"/>
      <c r="K4" s="73"/>
      <c r="L4" s="73"/>
      <c r="M4" s="73"/>
      <c r="N4" s="73"/>
      <c r="O4" s="73"/>
      <c r="P4" s="75"/>
    </row>
    <row r="5" spans="1:16" ht="13.8" thickBot="1">
      <c r="A5" s="81"/>
      <c r="B5" s="84"/>
      <c r="C5" s="87"/>
      <c r="D5" s="350"/>
      <c r="E5" s="90"/>
      <c r="F5" s="21" t="s">
        <v>20</v>
      </c>
      <c r="G5" s="20">
        <v>0.1</v>
      </c>
      <c r="H5" s="21" t="s">
        <v>185</v>
      </c>
      <c r="I5" s="188"/>
      <c r="J5" s="74"/>
      <c r="K5" s="74"/>
      <c r="L5" s="74"/>
      <c r="M5" s="74"/>
      <c r="N5" s="74"/>
      <c r="O5" s="74"/>
      <c r="P5" s="76"/>
    </row>
    <row r="6" spans="1:16" ht="13.8" thickTop="1">
      <c r="A6" s="95" t="s">
        <v>156</v>
      </c>
      <c r="B6" s="96" t="s">
        <v>157</v>
      </c>
      <c r="C6" s="97">
        <v>5</v>
      </c>
      <c r="D6" s="351">
        <f>C6/60</f>
        <v>8.3333333333333329E-2</v>
      </c>
      <c r="E6" s="98">
        <v>0.4</v>
      </c>
      <c r="F6" s="61" t="s">
        <v>158</v>
      </c>
      <c r="G6" s="62">
        <v>0.4</v>
      </c>
      <c r="H6" s="61" t="s">
        <v>158</v>
      </c>
      <c r="I6" s="35"/>
      <c r="J6" s="77">
        <f>IF(G6=1, I6, SUMPRODUCT(I6:I9, G6:G9))</f>
        <v>0</v>
      </c>
      <c r="K6" s="77">
        <f>SUMIF(I6:I9, "&lt;&gt;", G6:G9) / SUMIF(G6:G9, "&lt;&gt;")</f>
        <v>0</v>
      </c>
      <c r="L6" s="77" t="str">
        <f>IFERROR(J6/K6, "No grades yet")</f>
        <v>No grades yet</v>
      </c>
      <c r="M6" s="77">
        <f>IFERROR(IF(K6 = 1, "Completed module", IF(((70 - J6) / (1 - K6)) &gt; 100, "Unattainable", IF(((70 - J6) / (1 - K6)) &lt; 0, "Already attained", ((70 - J6) / (1 - K6))))), "-")</f>
        <v>70</v>
      </c>
      <c r="N6" s="77">
        <f>IFERROR(IF(K6 = 1, "Completed module", IF(((60 - J6) / (1 - K6)) &gt; 100, "Unattainable", IF(((60 - J6) / (1 - K6)) &lt; 0, "Already attained", ((60 - J6) / (1 - K6))))), "-")</f>
        <v>60</v>
      </c>
      <c r="O6" s="77">
        <f>IFERROR(IF(K6 = 1, "Completed module", IF(((50 - J6) / (1 - K6)) &gt; 100, "Unattainable", IF(((50 - J6) / (1 - K6)) &lt; 0, "Already attained", ((50 - J6) / (1 - K6))))), "-")</f>
        <v>50</v>
      </c>
      <c r="P6" s="78">
        <f>IFERROR(IF(K6 = 1, "Completed module", IF(((40 - J6) / (1 - K6)) &gt; 100, "Unattainable", IF(((40 - J6) / (1 - K6)) &lt; 0, "Already attained", ((40 - J6) / (1 - K6))))), "-")</f>
        <v>40</v>
      </c>
    </row>
    <row r="7" spans="1:16">
      <c r="A7" s="80"/>
      <c r="B7" s="83"/>
      <c r="C7" s="86"/>
      <c r="D7" s="349"/>
      <c r="E7" s="89"/>
      <c r="F7" s="10" t="s">
        <v>9</v>
      </c>
      <c r="G7" s="9">
        <v>0.6</v>
      </c>
      <c r="H7" s="10" t="s">
        <v>159</v>
      </c>
      <c r="I7" s="11"/>
      <c r="J7" s="73"/>
      <c r="K7" s="73"/>
      <c r="L7" s="73"/>
      <c r="M7" s="73"/>
      <c r="N7" s="73"/>
      <c r="O7" s="73"/>
      <c r="P7" s="75"/>
    </row>
    <row r="8" spans="1:16">
      <c r="A8" s="80"/>
      <c r="B8" s="83"/>
      <c r="C8" s="86"/>
      <c r="D8" s="349"/>
      <c r="E8" s="89"/>
      <c r="F8" s="10" t="s">
        <v>11</v>
      </c>
      <c r="G8" s="9">
        <v>0</v>
      </c>
      <c r="H8" s="10" t="s">
        <v>160</v>
      </c>
      <c r="I8" s="11"/>
      <c r="J8" s="73"/>
      <c r="K8" s="73"/>
      <c r="L8" s="73"/>
      <c r="M8" s="73"/>
      <c r="N8" s="73"/>
      <c r="O8" s="73"/>
      <c r="P8" s="75"/>
    </row>
    <row r="9" spans="1:16" ht="13.8" thickBot="1">
      <c r="A9" s="91"/>
      <c r="B9" s="92"/>
      <c r="C9" s="93"/>
      <c r="D9" s="352"/>
      <c r="E9" s="94"/>
      <c r="F9" s="19" t="s">
        <v>158</v>
      </c>
      <c r="G9" s="18">
        <v>0</v>
      </c>
      <c r="H9" s="19" t="s">
        <v>161</v>
      </c>
      <c r="I9" s="13"/>
      <c r="J9" s="70"/>
      <c r="K9" s="70"/>
      <c r="L9" s="70"/>
      <c r="M9" s="70"/>
      <c r="N9" s="70"/>
      <c r="O9" s="70"/>
      <c r="P9" s="72"/>
    </row>
    <row r="10" spans="1:16" ht="13.8" thickTop="1">
      <c r="A10" s="79" t="s">
        <v>162</v>
      </c>
      <c r="B10" s="82" t="s">
        <v>163</v>
      </c>
      <c r="C10" s="85">
        <v>15</v>
      </c>
      <c r="D10" s="348">
        <f>C10/60</f>
        <v>0.25</v>
      </c>
      <c r="E10" s="88">
        <v>0.4</v>
      </c>
      <c r="F10" s="16" t="s">
        <v>20</v>
      </c>
      <c r="G10" s="15">
        <v>0.1</v>
      </c>
      <c r="H10" s="16" t="s">
        <v>164</v>
      </c>
      <c r="I10" s="17"/>
      <c r="J10" s="69">
        <f>IF(G10=1, I10, SUMPRODUCT(I10:I13, G10:G13))</f>
        <v>0</v>
      </c>
      <c r="K10" s="69">
        <f>SUMIF(I10:I13, "&lt;&gt;", G10:G13) / SUMIF(G10:G13, "&lt;&gt;")</f>
        <v>0</v>
      </c>
      <c r="L10" s="69" t="str">
        <f>IFERROR(J10/K10, "No grades yet")</f>
        <v>No grades yet</v>
      </c>
      <c r="M10" s="69">
        <f>IFERROR(IF(K10 = 1, "Completed module", IF(((70 - J10) / (1 - K10)) &gt; 100, "Unattainable", IF(((70 - J10) / (1 - K10)) &lt; 0, "Already attained", ((70 - J10) / (1 - K10))))), "-")</f>
        <v>70</v>
      </c>
      <c r="N10" s="69">
        <f>IFERROR(IF(K10 = 1, "Completed module", IF(((60 - J10) / (1 - K10)) &gt; 100, "Unattainable", IF(((60 - J10) / (1 - K10)) &lt; 0, "Already attained", ((60 - J10) / (1 - K10))))), "-")</f>
        <v>60</v>
      </c>
      <c r="O10" s="69">
        <f>IFERROR(IF(K10 = 1, "Completed module", IF(((50 - J10) / (1 - K10)) &gt; 100, "Unattainable", IF(((50 - J10) / (1 - K10)) &lt; 0, "Already attained", ((50 - J10) / (1 - K10))))), "-")</f>
        <v>50</v>
      </c>
      <c r="P10" s="71">
        <f>IFERROR(IF(K10 = 1, "Completed module", IF(((40 - J10) / (1 - K10)) &gt; 100, "Unattainable", IF(((40 - J10) / (1 - K10)) &lt; 0, "Already attained", ((40 - J10) / (1 - K10))))), "-")</f>
        <v>40</v>
      </c>
    </row>
    <row r="11" spans="1:16">
      <c r="A11" s="80"/>
      <c r="B11" s="83"/>
      <c r="C11" s="86"/>
      <c r="D11" s="349"/>
      <c r="E11" s="89"/>
      <c r="F11" s="10" t="s">
        <v>20</v>
      </c>
      <c r="G11" s="9">
        <v>0.1</v>
      </c>
      <c r="H11" s="10" t="s">
        <v>165</v>
      </c>
      <c r="I11" s="11"/>
      <c r="J11" s="73"/>
      <c r="K11" s="73"/>
      <c r="L11" s="73"/>
      <c r="M11" s="73"/>
      <c r="N11" s="73"/>
      <c r="O11" s="73"/>
      <c r="P11" s="75"/>
    </row>
    <row r="12" spans="1:16">
      <c r="A12" s="80"/>
      <c r="B12" s="83"/>
      <c r="C12" s="86"/>
      <c r="D12" s="349"/>
      <c r="E12" s="89"/>
      <c r="F12" s="10" t="s">
        <v>17</v>
      </c>
      <c r="G12" s="9">
        <v>0.5</v>
      </c>
      <c r="H12" s="10" t="s">
        <v>166</v>
      </c>
      <c r="I12" s="11"/>
      <c r="J12" s="73"/>
      <c r="K12" s="73"/>
      <c r="L12" s="73"/>
      <c r="M12" s="73"/>
      <c r="N12" s="73"/>
      <c r="O12" s="73"/>
      <c r="P12" s="75"/>
    </row>
    <row r="13" spans="1:16" ht="13.8" thickBot="1">
      <c r="A13" s="91"/>
      <c r="B13" s="92"/>
      <c r="C13" s="93"/>
      <c r="D13" s="352"/>
      <c r="E13" s="94"/>
      <c r="F13" s="19" t="s">
        <v>17</v>
      </c>
      <c r="G13" s="18">
        <v>0.3</v>
      </c>
      <c r="H13" s="19" t="s">
        <v>167</v>
      </c>
      <c r="I13" s="13"/>
      <c r="J13" s="70"/>
      <c r="K13" s="70"/>
      <c r="L13" s="70"/>
      <c r="M13" s="70"/>
      <c r="N13" s="70"/>
      <c r="O13" s="70"/>
      <c r="P13" s="72"/>
    </row>
    <row r="14" spans="1:16" ht="13.8" thickTop="1">
      <c r="A14" s="79" t="s">
        <v>168</v>
      </c>
      <c r="B14" s="82" t="s">
        <v>169</v>
      </c>
      <c r="C14" s="85">
        <v>15</v>
      </c>
      <c r="D14" s="348">
        <f>C14/60</f>
        <v>0.25</v>
      </c>
      <c r="E14" s="88">
        <v>0.4</v>
      </c>
      <c r="F14" s="16" t="s">
        <v>17</v>
      </c>
      <c r="G14" s="15">
        <v>0.6</v>
      </c>
      <c r="H14" s="16" t="s">
        <v>170</v>
      </c>
      <c r="I14" s="17"/>
      <c r="J14" s="69">
        <f>IF(G14=1, I14, SUMPRODUCT(I14:I15, G14:G15))</f>
        <v>0</v>
      </c>
      <c r="K14" s="69">
        <f>SUMIF(I14:I15, "&lt;&gt;", G14:G15) / SUMIF(G14:G15, "&lt;&gt;")</f>
        <v>0</v>
      </c>
      <c r="L14" s="69" t="str">
        <f>IFERROR(J14/K14, "No grades yet")</f>
        <v>No grades yet</v>
      </c>
      <c r="M14" s="69">
        <f>IFERROR(IF(K14 = 1, "Completed module", IF(((70 - J14) / (1 - K14)) &gt; 100, "Unattainable", IF(((70 - J14) / (1 - K14)) &lt; 0, "Already attained", ((70 - J14) / (1 - K14))))), "-")</f>
        <v>70</v>
      </c>
      <c r="N14" s="69">
        <f>IFERROR(IF(K14 = 1, "Completed module", IF(((60 - J14) / (1 - K14)) &gt; 100, "Unattainable", IF(((60 - J14) / (1 - K14)) &lt; 0, "Already attained", ((60 - J14) / (1 - K14))))), "-")</f>
        <v>60</v>
      </c>
      <c r="O14" s="69">
        <f>IFERROR(IF(K14 = 1, "Completed module", IF(((50 - J14) / (1 - K14)) &gt; 100, "Unattainable", IF(((50 - J14) / (1 - K14)) &lt; 0, "Already attained", ((50 - J14) / (1 - K14))))), "-")</f>
        <v>50</v>
      </c>
      <c r="P14" s="71">
        <f>IFERROR(IF(K14 = 1, "Completed module", IF(((40 - J14) / (1 - K14)) &gt; 100, "Unattainable", IF(((40 - J14) / (1 - K14)) &lt; 0, "Already attained", ((40 - J14) / (1 - K14))))), "-")</f>
        <v>40</v>
      </c>
    </row>
    <row r="15" spans="1:16" ht="13.8" thickBot="1">
      <c r="A15" s="91"/>
      <c r="B15" s="92"/>
      <c r="C15" s="93"/>
      <c r="D15" s="352"/>
      <c r="E15" s="94"/>
      <c r="F15" s="19" t="s">
        <v>171</v>
      </c>
      <c r="G15" s="18">
        <v>0.4</v>
      </c>
      <c r="H15" s="19" t="s">
        <v>172</v>
      </c>
      <c r="I15" s="13"/>
      <c r="J15" s="70"/>
      <c r="K15" s="70"/>
      <c r="L15" s="70"/>
      <c r="M15" s="70"/>
      <c r="N15" s="70"/>
      <c r="O15" s="70"/>
      <c r="P15" s="72"/>
    </row>
    <row r="16" spans="1:16" ht="13.8" thickTop="1">
      <c r="A16" s="79" t="s">
        <v>173</v>
      </c>
      <c r="B16" s="82" t="s">
        <v>174</v>
      </c>
      <c r="C16" s="85">
        <v>15</v>
      </c>
      <c r="D16" s="348">
        <f>C16/60</f>
        <v>0.25</v>
      </c>
      <c r="E16" s="88">
        <v>0.4</v>
      </c>
      <c r="F16" s="16" t="s">
        <v>17</v>
      </c>
      <c r="G16" s="15">
        <v>0.2</v>
      </c>
      <c r="H16" s="16" t="s">
        <v>175</v>
      </c>
      <c r="I16" s="17"/>
      <c r="J16" s="69">
        <f>IF(G16=1, I16, SUMPRODUCT(I16:I20, G16:G20))</f>
        <v>0</v>
      </c>
      <c r="K16" s="69">
        <f>SUMIF(I16:I20, "&lt;&gt;", G16:G20) / SUMIF(G16:G20, "&lt;&gt;")</f>
        <v>0</v>
      </c>
      <c r="L16" s="69" t="str">
        <f>IFERROR(J16/K16, "No grades yet")</f>
        <v>No grades yet</v>
      </c>
      <c r="M16" s="69">
        <f>IFERROR(IF(K16 = 1, "Completed module", IF(((70 - J16) / (1 - K16)) &gt; 100, "Unattainable", IF(((70 - J16) / (1 - K16)) &lt; 0, "Already attained", ((70 - J16) / (1 - K16))))), "-")</f>
        <v>70</v>
      </c>
      <c r="N16" s="69">
        <f>IFERROR(IF(K16 = 1, "Completed module", IF(((60 - J16) / (1 - K16)) &gt; 100, "Unattainable", IF(((60 - J16) / (1 - K16)) &lt; 0, "Already attained", ((60 - J16) / (1 - K16))))), "-")</f>
        <v>60</v>
      </c>
      <c r="O16" s="69">
        <f>IFERROR(IF(K16 = 1, "Completed module", IF(((50 - J16) / (1 - K16)) &gt; 100, "Unattainable", IF(((50 - J16) / (1 - K16)) &lt; 0, "Already attained", ((50 - J16) / (1 - K16))))), "-")</f>
        <v>50</v>
      </c>
      <c r="P16" s="71">
        <f>IFERROR(IF(K16 = 1, "Completed module", IF(((40 - J16) / (1 - K16)) &gt; 100, "Unattainable", IF(((40 - J16) / (1 - K16)) &lt; 0, "Already attained", ((40 - J16) / (1 - K16))))), "-")</f>
        <v>40</v>
      </c>
    </row>
    <row r="17" spans="1:16">
      <c r="A17" s="80"/>
      <c r="B17" s="83"/>
      <c r="C17" s="86"/>
      <c r="D17" s="349"/>
      <c r="E17" s="89"/>
      <c r="F17" s="10" t="s">
        <v>17</v>
      </c>
      <c r="G17" s="9">
        <v>0.5</v>
      </c>
      <c r="H17" s="10" t="s">
        <v>176</v>
      </c>
      <c r="I17" s="11"/>
      <c r="J17" s="73"/>
      <c r="K17" s="73"/>
      <c r="L17" s="73"/>
      <c r="M17" s="73"/>
      <c r="N17" s="73"/>
      <c r="O17" s="73"/>
      <c r="P17" s="75"/>
    </row>
    <row r="18" spans="1:16">
      <c r="A18" s="80"/>
      <c r="B18" s="83"/>
      <c r="C18" s="86"/>
      <c r="D18" s="349"/>
      <c r="E18" s="89"/>
      <c r="F18" s="10" t="s">
        <v>29</v>
      </c>
      <c r="G18" s="9">
        <v>0.1</v>
      </c>
      <c r="H18" s="10" t="s">
        <v>177</v>
      </c>
      <c r="I18" s="11"/>
      <c r="J18" s="73"/>
      <c r="K18" s="73"/>
      <c r="L18" s="73"/>
      <c r="M18" s="73"/>
      <c r="N18" s="73"/>
      <c r="O18" s="73"/>
      <c r="P18" s="75"/>
    </row>
    <row r="19" spans="1:16">
      <c r="A19" s="80"/>
      <c r="B19" s="83"/>
      <c r="C19" s="86"/>
      <c r="D19" s="349"/>
      <c r="E19" s="89"/>
      <c r="F19" s="10" t="s">
        <v>29</v>
      </c>
      <c r="G19" s="9">
        <v>0.1</v>
      </c>
      <c r="H19" s="10" t="s">
        <v>178</v>
      </c>
      <c r="I19" s="11"/>
      <c r="J19" s="73"/>
      <c r="K19" s="73"/>
      <c r="L19" s="73"/>
      <c r="M19" s="73"/>
      <c r="N19" s="73"/>
      <c r="O19" s="73"/>
      <c r="P19" s="75"/>
    </row>
    <row r="20" spans="1:16" ht="13.8" thickBot="1">
      <c r="A20" s="81"/>
      <c r="B20" s="84"/>
      <c r="C20" s="87"/>
      <c r="D20" s="350"/>
      <c r="E20" s="90"/>
      <c r="F20" s="21" t="s">
        <v>29</v>
      </c>
      <c r="G20" s="20">
        <v>0.1</v>
      </c>
      <c r="H20" s="21" t="s">
        <v>179</v>
      </c>
      <c r="I20" s="22"/>
      <c r="J20" s="74"/>
      <c r="K20" s="74"/>
      <c r="L20" s="74"/>
      <c r="M20" s="74"/>
      <c r="N20" s="74"/>
      <c r="O20" s="74"/>
      <c r="P20" s="76"/>
    </row>
    <row r="21" spans="1:16" ht="13.8" thickTop="1"/>
  </sheetData>
  <mergeCells count="61">
    <mergeCell ref="D14:D15"/>
    <mergeCell ref="D16:D20"/>
    <mergeCell ref="F1:H1"/>
    <mergeCell ref="D2:D5"/>
    <mergeCell ref="D6:D9"/>
    <mergeCell ref="D10:D13"/>
    <mergeCell ref="L2:L5"/>
    <mergeCell ref="M2:M5"/>
    <mergeCell ref="N2:N5"/>
    <mergeCell ref="A2:A5"/>
    <mergeCell ref="B2:B5"/>
    <mergeCell ref="C2:C5"/>
    <mergeCell ref="E2:E5"/>
    <mergeCell ref="K2:K5"/>
    <mergeCell ref="C10:C13"/>
    <mergeCell ref="E10:E13"/>
    <mergeCell ref="A6:A9"/>
    <mergeCell ref="B6:B9"/>
    <mergeCell ref="C6:C9"/>
    <mergeCell ref="E6:E9"/>
    <mergeCell ref="N16:N20"/>
    <mergeCell ref="J2:J5"/>
    <mergeCell ref="A16:A20"/>
    <mergeCell ref="B16:B20"/>
    <mergeCell ref="C16:C20"/>
    <mergeCell ref="E16:E20"/>
    <mergeCell ref="L14:L15"/>
    <mergeCell ref="M14:M15"/>
    <mergeCell ref="N14:N15"/>
    <mergeCell ref="A14:A15"/>
    <mergeCell ref="B14:B15"/>
    <mergeCell ref="C14:C15"/>
    <mergeCell ref="E14:E15"/>
    <mergeCell ref="K14:K15"/>
    <mergeCell ref="A10:A13"/>
    <mergeCell ref="B10:B13"/>
    <mergeCell ref="J16:J20"/>
    <mergeCell ref="K16:K20"/>
    <mergeCell ref="L16:L20"/>
    <mergeCell ref="M16:M20"/>
    <mergeCell ref="J14:J15"/>
    <mergeCell ref="N6:N9"/>
    <mergeCell ref="J10:J13"/>
    <mergeCell ref="K10:K13"/>
    <mergeCell ref="L10:L13"/>
    <mergeCell ref="M10:M13"/>
    <mergeCell ref="N10:N13"/>
    <mergeCell ref="J6:J9"/>
    <mergeCell ref="K6:K9"/>
    <mergeCell ref="L6:L9"/>
    <mergeCell ref="M6:M9"/>
    <mergeCell ref="O14:O15"/>
    <mergeCell ref="P14:P15"/>
    <mergeCell ref="O16:O20"/>
    <mergeCell ref="P16:P20"/>
    <mergeCell ref="O2:O5"/>
    <mergeCell ref="P2:P5"/>
    <mergeCell ref="O6:O9"/>
    <mergeCell ref="P6:P9"/>
    <mergeCell ref="O10:O13"/>
    <mergeCell ref="P10:P13"/>
  </mergeCells>
  <conditionalFormatting sqref="I6:I20 L6:L20">
    <cfRule type="expression" dxfId="4399" priority="15" stopIfTrue="1">
      <formula>ISBLANK(I6)</formula>
    </cfRule>
    <cfRule type="cellIs" dxfId="4398" priority="16" stopIfTrue="1" operator="equal">
      <formula>"No grades yet"</formula>
    </cfRule>
    <cfRule type="cellIs" dxfId="4397" priority="17" stopIfTrue="1" operator="greaterThanOrEqual">
      <formula>70</formula>
    </cfRule>
    <cfRule type="cellIs" dxfId="4396" priority="18" stopIfTrue="1" operator="between">
      <formula>60</formula>
      <formula>69.999</formula>
    </cfRule>
    <cfRule type="cellIs" dxfId="4395" priority="19" stopIfTrue="1" operator="between">
      <formula>50</formula>
      <formula>59.999</formula>
    </cfRule>
    <cfRule type="cellIs" dxfId="4394" priority="20" stopIfTrue="1" operator="between">
      <formula>40</formula>
      <formula>49.999</formula>
    </cfRule>
    <cfRule type="cellIs" dxfId="4393" priority="21" stopIfTrue="1" operator="lessThan">
      <formula>40</formula>
    </cfRule>
  </conditionalFormatting>
  <conditionalFormatting sqref="I2:I5">
    <cfRule type="expression" dxfId="4392" priority="22" stopIfTrue="1">
      <formula>ISBLANK(I2)</formula>
    </cfRule>
    <cfRule type="cellIs" dxfId="4391" priority="23" stopIfTrue="1" operator="equal">
      <formula>"No grades yet"</formula>
    </cfRule>
    <cfRule type="cellIs" dxfId="4390" priority="24" stopIfTrue="1" operator="greaterThanOrEqual">
      <formula>70</formula>
    </cfRule>
    <cfRule type="cellIs" dxfId="4389" priority="25" stopIfTrue="1" operator="between">
      <formula>60</formula>
      <formula>69.999</formula>
    </cfRule>
    <cfRule type="cellIs" dxfId="4388" priority="26" stopIfTrue="1" operator="between">
      <formula>50</formula>
      <formula>59.999</formula>
    </cfRule>
    <cfRule type="cellIs" dxfId="4387" priority="27" stopIfTrue="1" operator="between">
      <formula>40</formula>
      <formula>49.999</formula>
    </cfRule>
    <cfRule type="cellIs" dxfId="4386" priority="28" stopIfTrue="1" operator="lessThan">
      <formula>40</formula>
    </cfRule>
  </conditionalFormatting>
  <conditionalFormatting sqref="L2:L5">
    <cfRule type="expression" dxfId="4385" priority="29" stopIfTrue="1">
      <formula>ISBLANK(L2)</formula>
    </cfRule>
    <cfRule type="cellIs" dxfId="4384" priority="30" stopIfTrue="1" operator="equal">
      <formula>"No grades yet"</formula>
    </cfRule>
    <cfRule type="cellIs" dxfId="4383" priority="31" stopIfTrue="1" operator="greaterThanOrEqual">
      <formula>70</formula>
    </cfRule>
    <cfRule type="cellIs" dxfId="4382" priority="32" stopIfTrue="1" operator="between">
      <formula>60</formula>
      <formula>69.999</formula>
    </cfRule>
    <cfRule type="cellIs" dxfId="4381" priority="33" stopIfTrue="1" operator="between">
      <formula>50</formula>
      <formula>59.999</formula>
    </cfRule>
    <cfRule type="cellIs" dxfId="4380" priority="34" stopIfTrue="1" operator="between">
      <formula>40</formula>
      <formula>49.999</formula>
    </cfRule>
    <cfRule type="cellIs" dxfId="4379" priority="35" stopIfTrue="1" operator="lessThan">
      <formula>40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outlinePr summaryBelow="0" summaryRight="0"/>
  </sheetPr>
  <dimension ref="A1:P26"/>
  <sheetViews>
    <sheetView zoomScale="79" workbookViewId="0">
      <selection activeCell="D2" sqref="D2:D25"/>
    </sheetView>
  </sheetViews>
  <sheetFormatPr defaultColWidth="12.6640625" defaultRowHeight="15.75" customHeight="1"/>
  <cols>
    <col min="2" max="2" width="19.88671875" customWidth="1"/>
    <col min="7" max="7" width="10.21875" customWidth="1"/>
    <col min="8" max="8" width="34.77734375" customWidth="1"/>
    <col min="9" max="9" width="9" customWidth="1"/>
    <col min="10" max="10" width="8.6640625" hidden="1" customWidth="1"/>
    <col min="11" max="11" width="8.33203125" hidden="1" customWidth="1"/>
    <col min="12" max="12" width="25.77734375" customWidth="1"/>
    <col min="13" max="13" width="23.77734375" customWidth="1"/>
    <col min="14" max="14" width="22" hidden="1" customWidth="1"/>
    <col min="15" max="15" width="22.33203125" hidden="1" customWidth="1"/>
    <col min="16" max="16" width="21.88671875" hidden="1" customWidth="1"/>
  </cols>
  <sheetData>
    <row r="1" spans="1:16" ht="40.799999999999997" thickTop="1" thickBot="1">
      <c r="A1" s="58" t="s">
        <v>65</v>
      </c>
      <c r="B1" s="59" t="s">
        <v>1</v>
      </c>
      <c r="C1" s="59" t="s">
        <v>0</v>
      </c>
      <c r="D1" s="59" t="s">
        <v>502</v>
      </c>
      <c r="E1" s="59" t="s">
        <v>92</v>
      </c>
      <c r="F1" s="99" t="s">
        <v>224</v>
      </c>
      <c r="G1" s="99"/>
      <c r="H1" s="99"/>
      <c r="I1" s="59" t="s">
        <v>2</v>
      </c>
      <c r="J1" s="59" t="s">
        <v>3</v>
      </c>
      <c r="K1" s="59" t="s">
        <v>4</v>
      </c>
      <c r="L1" s="59" t="s">
        <v>5</v>
      </c>
      <c r="M1" s="59" t="s">
        <v>193</v>
      </c>
      <c r="N1" s="59" t="s">
        <v>7</v>
      </c>
      <c r="O1" s="59" t="s">
        <v>194</v>
      </c>
      <c r="P1" s="60" t="s">
        <v>195</v>
      </c>
    </row>
    <row r="2" spans="1:16" ht="13.8" thickTop="1">
      <c r="A2" s="172" t="s">
        <v>137</v>
      </c>
      <c r="B2" s="169" t="s">
        <v>8</v>
      </c>
      <c r="C2" s="152">
        <v>10</v>
      </c>
      <c r="D2" s="353">
        <f>C2/60</f>
        <v>0.16666666666666666</v>
      </c>
      <c r="E2" s="153">
        <v>0.4</v>
      </c>
      <c r="F2" s="154" t="s">
        <v>9</v>
      </c>
      <c r="G2" s="155">
        <v>0.25</v>
      </c>
      <c r="H2" s="154" t="s">
        <v>10</v>
      </c>
      <c r="I2" s="156"/>
      <c r="J2" s="157">
        <f>IF(G2=1, I2, SUMPRODUCT(I2:I5, G2:G5))</f>
        <v>0</v>
      </c>
      <c r="K2" s="157">
        <f>SUMIF(I2:I5, "&lt;&gt;", G2:G5) / SUMIF(G2:G5, "&lt;&gt;")</f>
        <v>0</v>
      </c>
      <c r="L2" s="157" t="str">
        <f>IFERROR(J2/K2, "No grades yet")</f>
        <v>No grades yet</v>
      </c>
      <c r="M2" s="157">
        <f>IFERROR(IF(K2 = 1, "Completed module", IF(((70 - J2) / (1 - K2)) &gt; 100, "Unattainable", IF(((70 - J2) / (1 - K2)) &lt; 0, "Already attained", ((70 - J2) / (1 - K2))))), "-")</f>
        <v>70</v>
      </c>
      <c r="N2" s="157">
        <f>IFERROR(IF(K2 = 1, "Completed module", IF(((60 - J2) / (1 - K2)) &gt; 100, "Unattainable", IF(((60 - J2) / (1 - K2)) &lt; 0, "Already attained", ((60 - J2) / (1 - K2))))), "-")</f>
        <v>60</v>
      </c>
      <c r="O2" s="158">
        <f>IFERROR(IF(K2 = 1, "Completed module", IF(((50 - J2) / (1 - K2)) &gt; 100, "Unattainable", IF(((50 - J2) / (1 - K2)) &lt; 0, "Already attained", ((50 - J2) / (1 - K2))))), "-")</f>
        <v>50</v>
      </c>
      <c r="P2" s="166">
        <f>IFERROR(IF(K2 = 1, "Completed module", IF(((40 - J2) / (1 - K2)) &gt; 100, "Unattainable", IF(((40 - J2) / (1 - K2)) &lt; 0, "Already attained", ((40 - J2) / (1 - K2))))), "-")</f>
        <v>40</v>
      </c>
    </row>
    <row r="3" spans="1:16" ht="13.2">
      <c r="A3" s="173"/>
      <c r="B3" s="170"/>
      <c r="C3" s="145"/>
      <c r="D3" s="354"/>
      <c r="E3" s="146"/>
      <c r="F3" s="149" t="s">
        <v>11</v>
      </c>
      <c r="G3" s="150">
        <v>0.25</v>
      </c>
      <c r="H3" s="149" t="s">
        <v>12</v>
      </c>
      <c r="I3" s="151"/>
      <c r="J3" s="147"/>
      <c r="K3" s="147"/>
      <c r="L3" s="147"/>
      <c r="M3" s="147"/>
      <c r="N3" s="147"/>
      <c r="O3" s="148"/>
      <c r="P3" s="167"/>
    </row>
    <row r="4" spans="1:16" ht="13.2">
      <c r="A4" s="173"/>
      <c r="B4" s="170"/>
      <c r="C4" s="145"/>
      <c r="D4" s="354"/>
      <c r="E4" s="146"/>
      <c r="F4" s="149" t="s">
        <v>13</v>
      </c>
      <c r="G4" s="150">
        <v>0.25</v>
      </c>
      <c r="H4" s="149" t="s">
        <v>14</v>
      </c>
      <c r="I4" s="151"/>
      <c r="J4" s="147"/>
      <c r="K4" s="147"/>
      <c r="L4" s="147"/>
      <c r="M4" s="147"/>
      <c r="N4" s="147"/>
      <c r="O4" s="148"/>
      <c r="P4" s="167"/>
    </row>
    <row r="5" spans="1:16" ht="13.8" thickBot="1">
      <c r="A5" s="175"/>
      <c r="B5" s="176"/>
      <c r="C5" s="177"/>
      <c r="D5" s="355"/>
      <c r="E5" s="178"/>
      <c r="F5" s="179" t="s">
        <v>9</v>
      </c>
      <c r="G5" s="180">
        <v>0.25</v>
      </c>
      <c r="H5" s="179" t="s">
        <v>15</v>
      </c>
      <c r="I5" s="181"/>
      <c r="J5" s="182"/>
      <c r="K5" s="182"/>
      <c r="L5" s="182"/>
      <c r="M5" s="182"/>
      <c r="N5" s="182"/>
      <c r="O5" s="183"/>
      <c r="P5" s="184"/>
    </row>
    <row r="6" spans="1:16" ht="13.8" thickTop="1">
      <c r="A6" s="172" t="s">
        <v>138</v>
      </c>
      <c r="B6" s="169" t="s">
        <v>16</v>
      </c>
      <c r="C6" s="152">
        <v>15</v>
      </c>
      <c r="D6" s="320">
        <f>C6/60</f>
        <v>0.25</v>
      </c>
      <c r="E6" s="153">
        <v>0.4</v>
      </c>
      <c r="F6" s="154" t="s">
        <v>17</v>
      </c>
      <c r="G6" s="155">
        <v>0.35</v>
      </c>
      <c r="H6" s="154" t="s">
        <v>18</v>
      </c>
      <c r="I6" s="156"/>
      <c r="J6" s="157">
        <f>IF(G6=1, I6, SUMPRODUCT(I6:I11, G6:G11))</f>
        <v>15.986500000000003</v>
      </c>
      <c r="K6" s="157">
        <f>SUMIF(I6:I11, "&lt;&gt;", G6:G11) / SUMIF(G6:G11, "&lt;&gt;")</f>
        <v>0.25</v>
      </c>
      <c r="L6" s="157">
        <f>IFERROR(J6/K6, "No grades yet")</f>
        <v>63.946000000000012</v>
      </c>
      <c r="M6" s="157">
        <f>IFERROR(IF(K6 = 1, "Completed module", IF(((70 - J6) / (1 - K6)) &gt; 100, "Unattainable", IF(((70 - J6) / (1 - K6)) &lt; 0, "Already attained", ((70 - J6) / (1 - K6))))), "-")</f>
        <v>72.017999999999986</v>
      </c>
      <c r="N6" s="157">
        <f>IFERROR(IF(K6 = 1, "Completed module", IF(((60 - J6) / (1 - K6)) &gt; 100, "Unattainable", IF(((60 - J6) / (1 - K6)) &lt; 0, "Already attained", ((60 - J6) / (1 - K6))))), "-")</f>
        <v>58.684666666666658</v>
      </c>
      <c r="O6" s="158">
        <f>IFERROR(IF(K6 = 1, "Completed module", IF(((50 - J6) / (1 - K6)) &gt; 100, "Unattainable", IF(((50 - J6) / (1 - K6)) &lt; 0, "Already attained", ((50 - J6) / (1 - K6))))), "-")</f>
        <v>45.351333333333322</v>
      </c>
      <c r="P6" s="166">
        <f>IFERROR(IF(K6 = 1, "Completed module", IF(((40 - J6) / (1 - K6)) &gt; 100, "Unattainable", IF(((40 - J6) / (1 - K6)) &lt; 0, "Already attained", ((40 - J6) / (1 - K6))))), "-")</f>
        <v>32.017999999999994</v>
      </c>
    </row>
    <row r="7" spans="1:16" ht="13.2">
      <c r="A7" s="173"/>
      <c r="B7" s="170"/>
      <c r="C7" s="145"/>
      <c r="D7" s="318"/>
      <c r="E7" s="146"/>
      <c r="F7" s="149" t="s">
        <v>17</v>
      </c>
      <c r="G7" s="150">
        <v>0.35</v>
      </c>
      <c r="H7" s="149" t="s">
        <v>19</v>
      </c>
      <c r="I7" s="151"/>
      <c r="J7" s="147"/>
      <c r="K7" s="147"/>
      <c r="L7" s="147"/>
      <c r="M7" s="147"/>
      <c r="N7" s="147"/>
      <c r="O7" s="148"/>
      <c r="P7" s="167"/>
    </row>
    <row r="8" spans="1:16" ht="13.2">
      <c r="A8" s="173"/>
      <c r="B8" s="170"/>
      <c r="C8" s="145"/>
      <c r="D8" s="318"/>
      <c r="E8" s="146"/>
      <c r="F8" s="149" t="s">
        <v>20</v>
      </c>
      <c r="G8" s="150">
        <v>0.1</v>
      </c>
      <c r="H8" s="149" t="s">
        <v>21</v>
      </c>
      <c r="I8" s="151">
        <v>56</v>
      </c>
      <c r="J8" s="147"/>
      <c r="K8" s="147"/>
      <c r="L8" s="147"/>
      <c r="M8" s="147"/>
      <c r="N8" s="147"/>
      <c r="O8" s="148"/>
      <c r="P8" s="167"/>
    </row>
    <row r="9" spans="1:16" ht="13.2">
      <c r="A9" s="173"/>
      <c r="B9" s="170"/>
      <c r="C9" s="145"/>
      <c r="D9" s="318"/>
      <c r="E9" s="146"/>
      <c r="F9" s="149" t="s">
        <v>20</v>
      </c>
      <c r="G9" s="150">
        <v>0.05</v>
      </c>
      <c r="H9" s="149" t="s">
        <v>22</v>
      </c>
      <c r="I9" s="151">
        <v>65.73</v>
      </c>
      <c r="J9" s="147"/>
      <c r="K9" s="147"/>
      <c r="L9" s="147"/>
      <c r="M9" s="147"/>
      <c r="N9" s="147"/>
      <c r="O9" s="148"/>
      <c r="P9" s="167"/>
    </row>
    <row r="10" spans="1:16" ht="13.2">
      <c r="A10" s="173"/>
      <c r="B10" s="170"/>
      <c r="C10" s="145"/>
      <c r="D10" s="318"/>
      <c r="E10" s="146"/>
      <c r="F10" s="149" t="s">
        <v>20</v>
      </c>
      <c r="G10" s="150">
        <v>0.1</v>
      </c>
      <c r="H10" s="149" t="s">
        <v>23</v>
      </c>
      <c r="I10" s="151">
        <v>71</v>
      </c>
      <c r="J10" s="147"/>
      <c r="K10" s="147"/>
      <c r="L10" s="147"/>
      <c r="M10" s="147"/>
      <c r="N10" s="147"/>
      <c r="O10" s="148"/>
      <c r="P10" s="167"/>
    </row>
    <row r="11" spans="1:16" ht="13.8" thickBot="1">
      <c r="A11" s="175"/>
      <c r="B11" s="176"/>
      <c r="C11" s="177"/>
      <c r="D11" s="321"/>
      <c r="E11" s="178"/>
      <c r="F11" s="179" t="s">
        <v>20</v>
      </c>
      <c r="G11" s="180">
        <v>0.05</v>
      </c>
      <c r="H11" s="179" t="s">
        <v>24</v>
      </c>
      <c r="I11" s="181"/>
      <c r="J11" s="182"/>
      <c r="K11" s="182"/>
      <c r="L11" s="182"/>
      <c r="M11" s="182"/>
      <c r="N11" s="182"/>
      <c r="O11" s="183"/>
      <c r="P11" s="184"/>
    </row>
    <row r="12" spans="1:16" ht="13.8" thickTop="1">
      <c r="A12" s="172" t="s">
        <v>139</v>
      </c>
      <c r="B12" s="169" t="s">
        <v>25</v>
      </c>
      <c r="C12" s="152">
        <v>15</v>
      </c>
      <c r="D12" s="320">
        <f>C12/60</f>
        <v>0.25</v>
      </c>
      <c r="E12" s="153">
        <v>0.4</v>
      </c>
      <c r="F12" s="154" t="s">
        <v>17</v>
      </c>
      <c r="G12" s="155">
        <v>0.2</v>
      </c>
      <c r="H12" s="154" t="s">
        <v>26</v>
      </c>
      <c r="I12" s="156"/>
      <c r="J12" s="157">
        <f>IF(G12=1, I12, SUMPRODUCT(I12:I16, G12:G16))</f>
        <v>0</v>
      </c>
      <c r="K12" s="157">
        <f>SUMIF(I12:I16, "&lt;&gt;", G12:G16) / SUMIF(G12:G16, "&lt;&gt;")</f>
        <v>0.16700000000000001</v>
      </c>
      <c r="L12" s="157">
        <f>IFERROR(J12/K12, "No grades yet")</f>
        <v>0</v>
      </c>
      <c r="M12" s="157">
        <f>IFERROR(IF(K12 = 1, "Completed module", IF(((70 - J12) / (1 - K12)) &gt; 100, "Unattainable", IF(((70 - J12) / (1 - K12)) &lt; 0, "Already attained", ((70 - J12) / (1 - K12))))), "-")</f>
        <v>84.033613445378151</v>
      </c>
      <c r="N12" s="157">
        <f>IFERROR(IF(K12 = 1, "Completed module", IF(((60 - J12) / (1 - K12)) &gt; 100, "Unattainable", IF(((60 - J12) / (1 - K12)) &lt; 0, "Already attained", ((60 - J12) / (1 - K12))))), "-")</f>
        <v>72.02881152460985</v>
      </c>
      <c r="O12" s="158">
        <f>IFERROR(IF(K12 = 1, "Completed module", IF(((50 - J12) / (1 - K12)) &gt; 100, "Unattainable", IF(((50 - J12) / (1 - K12)) &lt; 0, "Already attained", ((50 - J12) / (1 - K12))))), "-")</f>
        <v>60.024009603841542</v>
      </c>
      <c r="P12" s="166">
        <f>IFERROR(IF(K12 = 1, "Completed module", IF(((40 - J12) / (1 - K12)) &gt; 100, "Unattainable", IF(((40 - J12) / (1 - K12)) &lt; 0, "Already attained", ((40 - J12) / (1 - K12))))), "-")</f>
        <v>48.019207683073233</v>
      </c>
    </row>
    <row r="13" spans="1:16" ht="13.2">
      <c r="A13" s="173"/>
      <c r="B13" s="170"/>
      <c r="C13" s="145"/>
      <c r="D13" s="318"/>
      <c r="E13" s="146"/>
      <c r="F13" s="149" t="s">
        <v>17</v>
      </c>
      <c r="G13" s="150">
        <v>0.25</v>
      </c>
      <c r="H13" s="149" t="s">
        <v>27</v>
      </c>
      <c r="I13" s="151"/>
      <c r="J13" s="147"/>
      <c r="K13" s="147"/>
      <c r="L13" s="147"/>
      <c r="M13" s="147"/>
      <c r="N13" s="147"/>
      <c r="O13" s="148"/>
      <c r="P13" s="167"/>
    </row>
    <row r="14" spans="1:16" ht="13.2">
      <c r="A14" s="173"/>
      <c r="B14" s="170"/>
      <c r="C14" s="145"/>
      <c r="D14" s="318"/>
      <c r="E14" s="146"/>
      <c r="F14" s="149" t="s">
        <v>20</v>
      </c>
      <c r="G14" s="150">
        <v>0.13300000000000001</v>
      </c>
      <c r="H14" s="149" t="s">
        <v>28</v>
      </c>
      <c r="I14" s="151"/>
      <c r="J14" s="147"/>
      <c r="K14" s="147"/>
      <c r="L14" s="147"/>
      <c r="M14" s="147"/>
      <c r="N14" s="147"/>
      <c r="O14" s="148"/>
      <c r="P14" s="167"/>
    </row>
    <row r="15" spans="1:16" ht="13.2">
      <c r="A15" s="173"/>
      <c r="B15" s="170"/>
      <c r="C15" s="145"/>
      <c r="D15" s="318"/>
      <c r="E15" s="146"/>
      <c r="F15" s="149" t="s">
        <v>29</v>
      </c>
      <c r="G15" s="150">
        <v>0.25</v>
      </c>
      <c r="H15" s="149" t="s">
        <v>29</v>
      </c>
      <c r="I15" s="151"/>
      <c r="J15" s="147"/>
      <c r="K15" s="147"/>
      <c r="L15" s="147"/>
      <c r="M15" s="147"/>
      <c r="N15" s="147"/>
      <c r="O15" s="148"/>
      <c r="P15" s="167"/>
    </row>
    <row r="16" spans="1:16" ht="13.8" thickBot="1">
      <c r="A16" s="175"/>
      <c r="B16" s="176"/>
      <c r="C16" s="177"/>
      <c r="D16" s="321"/>
      <c r="E16" s="178"/>
      <c r="F16" s="179" t="s">
        <v>11</v>
      </c>
      <c r="G16" s="180">
        <v>0.16700000000000001</v>
      </c>
      <c r="H16" s="179" t="s">
        <v>30</v>
      </c>
      <c r="I16" s="181">
        <v>0</v>
      </c>
      <c r="J16" s="182"/>
      <c r="K16" s="182"/>
      <c r="L16" s="182"/>
      <c r="M16" s="182"/>
      <c r="N16" s="182"/>
      <c r="O16" s="183"/>
      <c r="P16" s="184"/>
    </row>
    <row r="17" spans="1:16" ht="13.8" thickTop="1">
      <c r="A17" s="172" t="s">
        <v>140</v>
      </c>
      <c r="B17" s="169" t="s">
        <v>31</v>
      </c>
      <c r="C17" s="152">
        <v>15</v>
      </c>
      <c r="D17" s="320">
        <f>C17/60</f>
        <v>0.25</v>
      </c>
      <c r="E17" s="153">
        <v>0.4</v>
      </c>
      <c r="F17" s="154" t="s">
        <v>17</v>
      </c>
      <c r="G17" s="155">
        <v>0.3</v>
      </c>
      <c r="H17" s="154" t="s">
        <v>17</v>
      </c>
      <c r="I17" s="156"/>
      <c r="J17" s="157">
        <f>IF(G17=1, I17, SUMPRODUCT(I17:I23, G17:G23))</f>
        <v>23.9</v>
      </c>
      <c r="K17" s="157">
        <f>SUMIF(I17:I23, "&lt;&gt;", G17:G23) / SUMIF(G17:G23, "&lt;&gt;")</f>
        <v>0.55000000000000004</v>
      </c>
      <c r="L17" s="157">
        <f>IFERROR(J17/K17, "No grades yet")</f>
        <v>43.454545454545446</v>
      </c>
      <c r="M17" s="157" t="str">
        <f>IFERROR(IF(K17 = 1, "Completed module", IF(((70 - J17) / (1 - K17)) &gt; 100, "Unattainable", IF(((70 - J17) / (1 - K17)) &lt; 0, "Already attained", ((70 - J17) / (1 - K17))))), "-")</f>
        <v>Unattainable</v>
      </c>
      <c r="N17" s="157">
        <f>IFERROR(IF(K17 = 1, "Completed module", IF(((60 - J17) / (1 - K17)) &gt; 100, "Unattainable", IF(((60 - J17) / (1 - K17)) &lt; 0, "Already attained", ((60 - J17) / (1 - K17))))), "-")</f>
        <v>80.222222222222229</v>
      </c>
      <c r="O17" s="158">
        <f>IFERROR(IF(K17 = 1, "Completed module", IF(((50 - J17) / (1 - K17)) &gt; 100, "Unattainable", IF(((50 - J17) / (1 - K17)) &lt; 0, "Already attained", ((50 - J17) / (1 - K17))))), "-")</f>
        <v>58.000000000000007</v>
      </c>
      <c r="P17" s="166">
        <f>IFERROR(IF(K17 = 1, "Completed module", IF(((40 - J17) / (1 - K17)) &gt; 100, "Unattainable", IF(((40 - J17) / (1 - K17)) &lt; 0, "Already attained", ((40 - J17) / (1 - K17))))), "-")</f>
        <v>35.777777777777786</v>
      </c>
    </row>
    <row r="18" spans="1:16" ht="13.2">
      <c r="A18" s="173"/>
      <c r="B18" s="170"/>
      <c r="C18" s="145"/>
      <c r="D18" s="318"/>
      <c r="E18" s="146"/>
      <c r="F18" s="149" t="s">
        <v>20</v>
      </c>
      <c r="G18" s="150">
        <v>0.25</v>
      </c>
      <c r="H18" s="149" t="s">
        <v>20</v>
      </c>
      <c r="I18" s="151">
        <v>32</v>
      </c>
      <c r="J18" s="147"/>
      <c r="K18" s="147"/>
      <c r="L18" s="147"/>
      <c r="M18" s="147"/>
      <c r="N18" s="147"/>
      <c r="O18" s="148"/>
      <c r="P18" s="167"/>
    </row>
    <row r="19" spans="1:16" ht="13.2">
      <c r="A19" s="173"/>
      <c r="B19" s="170"/>
      <c r="C19" s="145"/>
      <c r="D19" s="318"/>
      <c r="E19" s="146"/>
      <c r="F19" s="149" t="s">
        <v>32</v>
      </c>
      <c r="G19" s="150">
        <v>0.17499999999999999</v>
      </c>
      <c r="H19" s="149" t="s">
        <v>32</v>
      </c>
      <c r="I19" s="151">
        <v>43</v>
      </c>
      <c r="J19" s="147"/>
      <c r="K19" s="147"/>
      <c r="L19" s="147"/>
      <c r="M19" s="147"/>
      <c r="N19" s="147"/>
      <c r="O19" s="148"/>
      <c r="P19" s="167"/>
    </row>
    <row r="20" spans="1:16" ht="13.2">
      <c r="A20" s="173"/>
      <c r="B20" s="170"/>
      <c r="C20" s="145"/>
      <c r="D20" s="318"/>
      <c r="E20" s="146"/>
      <c r="F20" s="149" t="s">
        <v>29</v>
      </c>
      <c r="G20" s="150">
        <v>7.4999999999999997E-2</v>
      </c>
      <c r="H20" s="149" t="s">
        <v>29</v>
      </c>
      <c r="I20" s="151"/>
      <c r="J20" s="147"/>
      <c r="K20" s="147"/>
      <c r="L20" s="147"/>
      <c r="M20" s="147"/>
      <c r="N20" s="147"/>
      <c r="O20" s="148"/>
      <c r="P20" s="167"/>
    </row>
    <row r="21" spans="1:16" ht="13.2">
      <c r="A21" s="173"/>
      <c r="B21" s="170"/>
      <c r="C21" s="145"/>
      <c r="D21" s="318"/>
      <c r="E21" s="146"/>
      <c r="F21" s="149" t="s">
        <v>29</v>
      </c>
      <c r="G21" s="150">
        <v>0.125</v>
      </c>
      <c r="H21" s="149" t="s">
        <v>33</v>
      </c>
      <c r="I21" s="151">
        <v>67</v>
      </c>
      <c r="J21" s="147"/>
      <c r="K21" s="147"/>
      <c r="L21" s="147"/>
      <c r="M21" s="147"/>
      <c r="N21" s="147"/>
      <c r="O21" s="148"/>
      <c r="P21" s="167"/>
    </row>
    <row r="22" spans="1:16" ht="13.2">
      <c r="A22" s="173"/>
      <c r="B22" s="170"/>
      <c r="C22" s="145"/>
      <c r="D22" s="318"/>
      <c r="E22" s="146"/>
      <c r="F22" s="149" t="s">
        <v>29</v>
      </c>
      <c r="G22" s="150">
        <v>0.05</v>
      </c>
      <c r="H22" s="149" t="s">
        <v>34</v>
      </c>
      <c r="I22" s="151"/>
      <c r="J22" s="147"/>
      <c r="K22" s="147"/>
      <c r="L22" s="147"/>
      <c r="M22" s="147"/>
      <c r="N22" s="147"/>
      <c r="O22" s="148"/>
      <c r="P22" s="167"/>
    </row>
    <row r="23" spans="1:16" ht="13.8" thickBot="1">
      <c r="A23" s="175"/>
      <c r="B23" s="176"/>
      <c r="C23" s="177"/>
      <c r="D23" s="321"/>
      <c r="E23" s="178"/>
      <c r="F23" s="179" t="s">
        <v>29</v>
      </c>
      <c r="G23" s="180">
        <v>2.5000000000000001E-2</v>
      </c>
      <c r="H23" s="179" t="s">
        <v>35</v>
      </c>
      <c r="I23" s="181"/>
      <c r="J23" s="182"/>
      <c r="K23" s="182"/>
      <c r="L23" s="182"/>
      <c r="M23" s="182"/>
      <c r="N23" s="182"/>
      <c r="O23" s="183"/>
      <c r="P23" s="184"/>
    </row>
    <row r="24" spans="1:16" ht="13.8" thickTop="1">
      <c r="A24" s="172" t="s">
        <v>141</v>
      </c>
      <c r="B24" s="169" t="s">
        <v>36</v>
      </c>
      <c r="C24" s="152">
        <v>5</v>
      </c>
      <c r="D24" s="320">
        <f>C24/60</f>
        <v>8.3333333333333329E-2</v>
      </c>
      <c r="E24" s="153">
        <v>0.4</v>
      </c>
      <c r="F24" s="154" t="s">
        <v>37</v>
      </c>
      <c r="G24" s="155">
        <v>0.5</v>
      </c>
      <c r="H24" s="154" t="s">
        <v>38</v>
      </c>
      <c r="I24" s="156">
        <v>60</v>
      </c>
      <c r="J24" s="157">
        <f>IF(G24=1, I24, SUMPRODUCT(I24:I25, G24:G25))</f>
        <v>71.25</v>
      </c>
      <c r="K24" s="157">
        <f>SUMIF(I24:I25, "&lt;&gt;", G24:G25) / SUMIF(G24:G25, "&lt;&gt;")</f>
        <v>1</v>
      </c>
      <c r="L24" s="157">
        <f>IFERROR(J24/K24, "No grades yet")</f>
        <v>71.25</v>
      </c>
      <c r="M24" s="157" t="str">
        <f>IFERROR(IF(K24 = 1, "Completed module", IF(((70 - J24) / (1 - K24)) &gt; 100, "Unattainable", IF(((70 - J24) / (1 - K24)) &lt; 0, "Already attained", ((70 - J24) / (1 - K24))))), "-")</f>
        <v>Completed module</v>
      </c>
      <c r="N24" s="157" t="str">
        <f>IFERROR(IF(K24 = 1, "Completed module", IF(((60 - J24) / (1 - K24)) &gt; 100, "Unattainable", IF(((60 - J24) / (1 - K24)) &lt; 0, "Already attained", ((60 - J24) / (1 - K24))))), "-")</f>
        <v>Completed module</v>
      </c>
      <c r="O24" s="158" t="str">
        <f>IFERROR(IF(K24 = 1, "Completed module", IF(((50 - J24) / (1 - K24)) &gt; 100, "Unattainable", IF(((50 - J24) / (1 - K24)) &lt; 0, "Already attained", ((50 - J24) / (1 - K24))))), "-")</f>
        <v>Completed module</v>
      </c>
      <c r="P24" s="166" t="str">
        <f>IFERROR(IF(K24 = 1, "Completed module", IF(((40 - J24) / (1 - K24)) &gt; 100, "Unattainable", IF(((40 - J24) / (1 - K24)) &lt; 0, "Already attained", ((40 - J24) / (1 - K24))))), "-")</f>
        <v>Completed module</v>
      </c>
    </row>
    <row r="25" spans="1:16" ht="13.8" thickBot="1">
      <c r="A25" s="174"/>
      <c r="B25" s="171"/>
      <c r="C25" s="159"/>
      <c r="D25" s="319"/>
      <c r="E25" s="160"/>
      <c r="F25" s="161" t="s">
        <v>37</v>
      </c>
      <c r="G25" s="162">
        <v>0.5</v>
      </c>
      <c r="H25" s="161" t="s">
        <v>39</v>
      </c>
      <c r="I25" s="163">
        <v>82.5</v>
      </c>
      <c r="J25" s="164"/>
      <c r="K25" s="164"/>
      <c r="L25" s="164"/>
      <c r="M25" s="164"/>
      <c r="N25" s="164"/>
      <c r="O25" s="165"/>
      <c r="P25" s="168"/>
    </row>
    <row r="26" spans="1:16" ht="15.75" customHeight="1" thickTop="1"/>
  </sheetData>
  <mergeCells count="61">
    <mergeCell ref="D12:D16"/>
    <mergeCell ref="D17:D23"/>
    <mergeCell ref="D24:D25"/>
    <mergeCell ref="D2:D5"/>
    <mergeCell ref="D6:D11"/>
    <mergeCell ref="F1:H1"/>
    <mergeCell ref="O17:O23"/>
    <mergeCell ref="P17:P23"/>
    <mergeCell ref="O24:O25"/>
    <mergeCell ref="P24:P25"/>
    <mergeCell ref="O2:O5"/>
    <mergeCell ref="P2:P5"/>
    <mergeCell ref="O6:O11"/>
    <mergeCell ref="P6:P11"/>
    <mergeCell ref="O12:O16"/>
    <mergeCell ref="P12:P16"/>
    <mergeCell ref="N2:N5"/>
    <mergeCell ref="B6:B11"/>
    <mergeCell ref="C6:C11"/>
    <mergeCell ref="J6:J11"/>
    <mergeCell ref="K6:K11"/>
    <mergeCell ref="L6:L11"/>
    <mergeCell ref="M6:M11"/>
    <mergeCell ref="N6:N11"/>
    <mergeCell ref="B2:B5"/>
    <mergeCell ref="C2:C5"/>
    <mergeCell ref="J2:J5"/>
    <mergeCell ref="K2:K5"/>
    <mergeCell ref="L2:L5"/>
    <mergeCell ref="E2:E5"/>
    <mergeCell ref="E6:E11"/>
    <mergeCell ref="J12:J16"/>
    <mergeCell ref="K12:K16"/>
    <mergeCell ref="L12:L16"/>
    <mergeCell ref="E12:E16"/>
    <mergeCell ref="M2:M5"/>
    <mergeCell ref="M12:M16"/>
    <mergeCell ref="N12:N16"/>
    <mergeCell ref="M24:M25"/>
    <mergeCell ref="N24:N25"/>
    <mergeCell ref="B17:B23"/>
    <mergeCell ref="C17:C23"/>
    <mergeCell ref="J17:J23"/>
    <mergeCell ref="K17:K23"/>
    <mergeCell ref="L17:L23"/>
    <mergeCell ref="M17:M23"/>
    <mergeCell ref="N17:N23"/>
    <mergeCell ref="B24:B25"/>
    <mergeCell ref="C24:C25"/>
    <mergeCell ref="J24:J25"/>
    <mergeCell ref="K24:K25"/>
    <mergeCell ref="L24:L25"/>
    <mergeCell ref="E17:E23"/>
    <mergeCell ref="E24:E25"/>
    <mergeCell ref="A2:A5"/>
    <mergeCell ref="A6:A11"/>
    <mergeCell ref="A12:A16"/>
    <mergeCell ref="A17:A23"/>
    <mergeCell ref="A24:A25"/>
    <mergeCell ref="B12:B16"/>
    <mergeCell ref="C12:C16"/>
  </mergeCells>
  <conditionalFormatting sqref="I2:I5">
    <cfRule type="expression" dxfId="4378" priority="29" stopIfTrue="1">
      <formula>ISBLANK(I2)</formula>
    </cfRule>
    <cfRule type="cellIs" dxfId="4377" priority="30" stopIfTrue="1" operator="equal">
      <formula>"No grades yet"</formula>
    </cfRule>
    <cfRule type="cellIs" dxfId="4376" priority="31" stopIfTrue="1" operator="greaterThanOrEqual">
      <formula>70</formula>
    </cfRule>
    <cfRule type="cellIs" dxfId="4375" priority="32" stopIfTrue="1" operator="between">
      <formula>60</formula>
      <formula>69.999</formula>
    </cfRule>
    <cfRule type="cellIs" dxfId="4374" priority="33" stopIfTrue="1" operator="between">
      <formula>50</formula>
      <formula>59.999</formula>
    </cfRule>
    <cfRule type="cellIs" dxfId="4373" priority="34" stopIfTrue="1" operator="between">
      <formula>40</formula>
      <formula>49.999</formula>
    </cfRule>
    <cfRule type="cellIs" dxfId="4372" priority="35" stopIfTrue="1" operator="lessThan">
      <formula>40</formula>
    </cfRule>
  </conditionalFormatting>
  <conditionalFormatting sqref="L2:L5">
    <cfRule type="expression" dxfId="4371" priority="36" stopIfTrue="1">
      <formula>ISBLANK(L2)</formula>
    </cfRule>
    <cfRule type="cellIs" dxfId="4370" priority="37" stopIfTrue="1" operator="equal">
      <formula>"No grades yet"</formula>
    </cfRule>
    <cfRule type="cellIs" dxfId="4369" priority="38" stopIfTrue="1" operator="greaterThanOrEqual">
      <formula>70</formula>
    </cfRule>
    <cfRule type="cellIs" dxfId="4368" priority="39" stopIfTrue="1" operator="between">
      <formula>60</formula>
      <formula>69.999</formula>
    </cfRule>
    <cfRule type="cellIs" dxfId="4367" priority="40" stopIfTrue="1" operator="between">
      <formula>50</formula>
      <formula>59.999</formula>
    </cfRule>
    <cfRule type="cellIs" dxfId="4366" priority="41" stopIfTrue="1" operator="between">
      <formula>40</formula>
      <formula>49.999</formula>
    </cfRule>
    <cfRule type="cellIs" dxfId="4365" priority="42" stopIfTrue="1" operator="lessThan">
      <formula>40</formula>
    </cfRule>
  </conditionalFormatting>
  <conditionalFormatting sqref="I6:I11">
    <cfRule type="expression" dxfId="4364" priority="43" stopIfTrue="1">
      <formula>ISBLANK(I6)</formula>
    </cfRule>
    <cfRule type="cellIs" dxfId="4363" priority="44" stopIfTrue="1" operator="equal">
      <formula>"No grades yet"</formula>
    </cfRule>
    <cfRule type="cellIs" dxfId="4362" priority="45" stopIfTrue="1" operator="greaterThanOrEqual">
      <formula>70</formula>
    </cfRule>
    <cfRule type="cellIs" dxfId="4361" priority="46" stopIfTrue="1" operator="between">
      <formula>60</formula>
      <formula>69.999</formula>
    </cfRule>
    <cfRule type="cellIs" dxfId="4360" priority="47" stopIfTrue="1" operator="between">
      <formula>50</formula>
      <formula>59.999</formula>
    </cfRule>
    <cfRule type="cellIs" dxfId="4359" priority="48" stopIfTrue="1" operator="between">
      <formula>40</formula>
      <formula>49.999</formula>
    </cfRule>
    <cfRule type="cellIs" dxfId="4358" priority="49" stopIfTrue="1" operator="lessThan">
      <formula>40</formula>
    </cfRule>
  </conditionalFormatting>
  <conditionalFormatting sqref="L6:L11">
    <cfRule type="expression" dxfId="4357" priority="50" stopIfTrue="1">
      <formula>ISBLANK(L6)</formula>
    </cfRule>
    <cfRule type="cellIs" dxfId="4356" priority="51" stopIfTrue="1" operator="equal">
      <formula>"No grades yet"</formula>
    </cfRule>
    <cfRule type="cellIs" dxfId="4355" priority="52" stopIfTrue="1" operator="greaterThanOrEqual">
      <formula>70</formula>
    </cfRule>
    <cfRule type="cellIs" dxfId="4354" priority="53" stopIfTrue="1" operator="between">
      <formula>60</formula>
      <formula>69.999</formula>
    </cfRule>
    <cfRule type="cellIs" dxfId="4353" priority="54" stopIfTrue="1" operator="between">
      <formula>50</formula>
      <formula>59.999</formula>
    </cfRule>
    <cfRule type="cellIs" dxfId="4352" priority="55" stopIfTrue="1" operator="between">
      <formula>40</formula>
      <formula>49.999</formula>
    </cfRule>
    <cfRule type="cellIs" dxfId="4351" priority="56" stopIfTrue="1" operator="lessThan">
      <formula>40</formula>
    </cfRule>
  </conditionalFormatting>
  <conditionalFormatting sqref="I12:I16">
    <cfRule type="expression" dxfId="4350" priority="71" stopIfTrue="1">
      <formula>ISBLANK(I12)</formula>
    </cfRule>
    <cfRule type="cellIs" dxfId="4349" priority="72" stopIfTrue="1" operator="equal">
      <formula>"No grades yet"</formula>
    </cfRule>
    <cfRule type="cellIs" dxfId="4348" priority="73" stopIfTrue="1" operator="greaterThanOrEqual">
      <formula>70</formula>
    </cfRule>
    <cfRule type="cellIs" dxfId="4347" priority="74" stopIfTrue="1" operator="between">
      <formula>60</formula>
      <formula>69.999</formula>
    </cfRule>
    <cfRule type="cellIs" dxfId="4346" priority="75" stopIfTrue="1" operator="between">
      <formula>50</formula>
      <formula>59.999</formula>
    </cfRule>
    <cfRule type="cellIs" dxfId="4345" priority="76" stopIfTrue="1" operator="between">
      <formula>40</formula>
      <formula>49.999</formula>
    </cfRule>
    <cfRule type="cellIs" dxfId="4344" priority="77" stopIfTrue="1" operator="lessThan">
      <formula>40</formula>
    </cfRule>
  </conditionalFormatting>
  <conditionalFormatting sqref="L12:L16">
    <cfRule type="expression" dxfId="4343" priority="78" stopIfTrue="1">
      <formula>ISBLANK(L12)</formula>
    </cfRule>
    <cfRule type="cellIs" dxfId="4342" priority="79" stopIfTrue="1" operator="equal">
      <formula>"No grades yet"</formula>
    </cfRule>
    <cfRule type="cellIs" dxfId="4341" priority="80" stopIfTrue="1" operator="greaterThanOrEqual">
      <formula>70</formula>
    </cfRule>
    <cfRule type="cellIs" dxfId="4340" priority="81" stopIfTrue="1" operator="between">
      <formula>60</formula>
      <formula>69.999</formula>
    </cfRule>
    <cfRule type="cellIs" dxfId="4339" priority="82" stopIfTrue="1" operator="between">
      <formula>50</formula>
      <formula>59.999</formula>
    </cfRule>
    <cfRule type="cellIs" dxfId="4338" priority="83" stopIfTrue="1" operator="between">
      <formula>40</formula>
      <formula>49.999</formula>
    </cfRule>
    <cfRule type="cellIs" dxfId="4337" priority="84" stopIfTrue="1" operator="lessThan">
      <formula>40</formula>
    </cfRule>
  </conditionalFormatting>
  <conditionalFormatting sqref="I17:I23">
    <cfRule type="expression" dxfId="4336" priority="85" stopIfTrue="1">
      <formula>ISBLANK(I17)</formula>
    </cfRule>
    <cfRule type="cellIs" dxfId="4335" priority="86" stopIfTrue="1" operator="equal">
      <formula>"No grades yet"</formula>
    </cfRule>
    <cfRule type="cellIs" dxfId="4334" priority="87" stopIfTrue="1" operator="greaterThanOrEqual">
      <formula>70</formula>
    </cfRule>
    <cfRule type="cellIs" dxfId="4333" priority="88" stopIfTrue="1" operator="between">
      <formula>60</formula>
      <formula>69.999</formula>
    </cfRule>
    <cfRule type="cellIs" dxfId="4332" priority="89" stopIfTrue="1" operator="between">
      <formula>50</formula>
      <formula>59.999</formula>
    </cfRule>
    <cfRule type="cellIs" dxfId="4331" priority="90" stopIfTrue="1" operator="between">
      <formula>40</formula>
      <formula>49.999</formula>
    </cfRule>
    <cfRule type="cellIs" dxfId="4330" priority="91" stopIfTrue="1" operator="lessThan">
      <formula>40</formula>
    </cfRule>
  </conditionalFormatting>
  <conditionalFormatting sqref="L17:L23">
    <cfRule type="expression" dxfId="4329" priority="92" stopIfTrue="1">
      <formula>ISBLANK(L17)</formula>
    </cfRule>
    <cfRule type="cellIs" dxfId="4328" priority="93" stopIfTrue="1" operator="equal">
      <formula>"No grades yet"</formula>
    </cfRule>
    <cfRule type="cellIs" dxfId="4327" priority="94" stopIfTrue="1" operator="greaterThanOrEqual">
      <formula>70</formula>
    </cfRule>
    <cfRule type="cellIs" dxfId="4326" priority="95" stopIfTrue="1" operator="between">
      <formula>60</formula>
      <formula>69.999</formula>
    </cfRule>
    <cfRule type="cellIs" dxfId="4325" priority="96" stopIfTrue="1" operator="between">
      <formula>50</formula>
      <formula>59.999</formula>
    </cfRule>
    <cfRule type="cellIs" dxfId="4324" priority="97" stopIfTrue="1" operator="between">
      <formula>40</formula>
      <formula>49.999</formula>
    </cfRule>
    <cfRule type="cellIs" dxfId="4323" priority="98" stopIfTrue="1" operator="lessThan">
      <formula>40</formula>
    </cfRule>
  </conditionalFormatting>
  <conditionalFormatting sqref="I24:I25">
    <cfRule type="expression" dxfId="4322" priority="99" stopIfTrue="1">
      <formula>ISBLANK(I24)</formula>
    </cfRule>
    <cfRule type="cellIs" dxfId="4321" priority="100" stopIfTrue="1" operator="equal">
      <formula>"No grades yet"</formula>
    </cfRule>
    <cfRule type="cellIs" dxfId="4320" priority="101" stopIfTrue="1" operator="greaterThanOrEqual">
      <formula>70</formula>
    </cfRule>
    <cfRule type="cellIs" dxfId="4319" priority="102" stopIfTrue="1" operator="between">
      <formula>60</formula>
      <formula>69.999</formula>
    </cfRule>
    <cfRule type="cellIs" dxfId="4318" priority="103" stopIfTrue="1" operator="between">
      <formula>50</formula>
      <formula>59.999</formula>
    </cfRule>
    <cfRule type="cellIs" dxfId="4317" priority="104" stopIfTrue="1" operator="between">
      <formula>40</formula>
      <formula>49.999</formula>
    </cfRule>
    <cfRule type="cellIs" dxfId="4316" priority="105" stopIfTrue="1" operator="lessThan">
      <formula>40</formula>
    </cfRule>
  </conditionalFormatting>
  <conditionalFormatting sqref="L24:L25">
    <cfRule type="expression" dxfId="4315" priority="106" stopIfTrue="1">
      <formula>ISBLANK(L24)</formula>
    </cfRule>
    <cfRule type="cellIs" dxfId="4314" priority="107" stopIfTrue="1" operator="equal">
      <formula>"No grades yet"</formula>
    </cfRule>
    <cfRule type="cellIs" dxfId="4313" priority="108" stopIfTrue="1" operator="greaterThanOrEqual">
      <formula>70</formula>
    </cfRule>
    <cfRule type="cellIs" dxfId="4312" priority="109" stopIfTrue="1" operator="between">
      <formula>60</formula>
      <formula>69.999</formula>
    </cfRule>
    <cfRule type="cellIs" dxfId="4311" priority="110" stopIfTrue="1" operator="between">
      <formula>50</formula>
      <formula>59.999</formula>
    </cfRule>
    <cfRule type="cellIs" dxfId="4310" priority="111" stopIfTrue="1" operator="between">
      <formula>40</formula>
      <formula>49.999</formula>
    </cfRule>
    <cfRule type="cellIs" dxfId="4309" priority="112" stopIfTrue="1" operator="lessThan">
      <formula>40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outlinePr summaryBelow="0" summaryRight="0"/>
  </sheetPr>
  <dimension ref="A1:P47"/>
  <sheetViews>
    <sheetView zoomScale="84" zoomScaleNormal="115" workbookViewId="0">
      <selection activeCell="L46" sqref="L46"/>
    </sheetView>
  </sheetViews>
  <sheetFormatPr defaultColWidth="12.6640625" defaultRowHeight="15.75" customHeight="1"/>
  <cols>
    <col min="2" max="2" width="29.77734375" customWidth="1"/>
    <col min="6" max="6" width="15.33203125" customWidth="1"/>
    <col min="7" max="7" width="10.21875" customWidth="1"/>
    <col min="8" max="8" width="39.33203125" customWidth="1"/>
    <col min="9" max="9" width="11.77734375" customWidth="1"/>
    <col min="10" max="10" width="10.6640625" hidden="1" customWidth="1"/>
    <col min="11" max="11" width="13.21875" hidden="1" customWidth="1"/>
    <col min="12" max="12" width="18.109375" hidden="1" customWidth="1"/>
    <col min="13" max="13" width="27.33203125" hidden="1" customWidth="1"/>
    <col min="14" max="14" width="25.88671875" customWidth="1"/>
    <col min="15" max="15" width="26" customWidth="1"/>
    <col min="16" max="16" width="25.21875" hidden="1" customWidth="1"/>
  </cols>
  <sheetData>
    <row r="1" spans="1:16" ht="15.75" customHeight="1" thickBot="1">
      <c r="A1" s="1" t="s">
        <v>64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6" ht="27.6" thickTop="1" thickBot="1">
      <c r="A2" s="58" t="s">
        <v>65</v>
      </c>
      <c r="B2" s="59" t="s">
        <v>1</v>
      </c>
      <c r="C2" s="59" t="s">
        <v>0</v>
      </c>
      <c r="D2" s="59" t="s">
        <v>91</v>
      </c>
      <c r="E2" s="59" t="s">
        <v>92</v>
      </c>
      <c r="F2" s="99" t="s">
        <v>224</v>
      </c>
      <c r="G2" s="99"/>
      <c r="H2" s="99"/>
      <c r="I2" s="59" t="s">
        <v>2</v>
      </c>
      <c r="J2" s="59" t="s">
        <v>3</v>
      </c>
      <c r="K2" s="59" t="s">
        <v>4</v>
      </c>
      <c r="L2" s="59" t="s">
        <v>5</v>
      </c>
      <c r="M2" s="59" t="s">
        <v>193</v>
      </c>
      <c r="N2" s="59" t="s">
        <v>7</v>
      </c>
      <c r="O2" s="59" t="s">
        <v>194</v>
      </c>
      <c r="P2" s="60" t="s">
        <v>195</v>
      </c>
    </row>
    <row r="3" spans="1:16" ht="13.2" customHeight="1" thickTop="1">
      <c r="A3" s="172" t="s">
        <v>66</v>
      </c>
      <c r="B3" s="169" t="s">
        <v>67</v>
      </c>
      <c r="C3" s="152">
        <v>20</v>
      </c>
      <c r="D3" s="320">
        <v>0.36299999999999999</v>
      </c>
      <c r="E3" s="153">
        <v>0.4</v>
      </c>
      <c r="F3" s="154" t="s">
        <v>9</v>
      </c>
      <c r="G3" s="155">
        <v>0.15</v>
      </c>
      <c r="H3" s="154" t="s">
        <v>68</v>
      </c>
      <c r="I3" s="156"/>
      <c r="J3" s="157">
        <f>IF(G3=1, I3, SUMPRODUCT(I3:I7, G3:G7))</f>
        <v>5</v>
      </c>
      <c r="K3" s="157">
        <f>SUMIF(I3:I7, "&lt;&gt;", G3:G7) / SUMIF(G3:G7, "&lt;&gt;")</f>
        <v>0.1</v>
      </c>
      <c r="L3" s="157">
        <f>IFERROR(J3/K3, "No grades yet")</f>
        <v>50</v>
      </c>
      <c r="M3" s="157">
        <f>IFERROR(IF(K3 = 1, "Completed module", IF(((70 - J3) / (1 - K3)) &gt; 100, "Unattainable", IF(((70 - J3) / (1 - K3)) &lt; 0, "Already attained", ((70 - J3) / (1 - K3))))), "-")</f>
        <v>72.222222222222214</v>
      </c>
      <c r="N3" s="157">
        <f>IFERROR(IF(K3 = 1, "Completed module", IF(((60 - J3) / (1 - K3)) &gt; 100, "Unattainable", IF(((60 - J3) / (1 - K3)) &lt; 0, "Already attained", ((60 - J3) / (1 - K3))))), "-")</f>
        <v>61.111111111111107</v>
      </c>
      <c r="O3" s="158">
        <f>IFERROR(IF(K3 = 1, "Completed module", IF(((50 - J3) / (1 - K3)) &gt; 100, "Unattainable", IF(((50 - J3) / (1 - K3)) &lt; 0, "Already attained", ((50 - J3) / (1 - K3))))), "-")</f>
        <v>50</v>
      </c>
      <c r="P3" s="166">
        <f>IFERROR(IF(K3 = 1, "Completed module", IF(((40 - J3) / (1 - K3)) &gt; 100, "Unattainable", IF(((40 - J3) / (1 - K3)) &lt; 0, "Already attained", ((40 - J3) / (1 - K3))))), "-")</f>
        <v>38.888888888888886</v>
      </c>
    </row>
    <row r="4" spans="1:16" ht="13.2">
      <c r="A4" s="173"/>
      <c r="B4" s="170"/>
      <c r="C4" s="145"/>
      <c r="D4" s="318"/>
      <c r="E4" s="146"/>
      <c r="F4" s="149" t="s">
        <v>9</v>
      </c>
      <c r="G4" s="150">
        <v>0.1</v>
      </c>
      <c r="H4" s="149" t="s">
        <v>69</v>
      </c>
      <c r="I4" s="151">
        <v>50</v>
      </c>
      <c r="J4" s="147"/>
      <c r="K4" s="147"/>
      <c r="L4" s="147"/>
      <c r="M4" s="147"/>
      <c r="N4" s="147"/>
      <c r="O4" s="148"/>
      <c r="P4" s="167"/>
    </row>
    <row r="5" spans="1:16" ht="13.2">
      <c r="A5" s="173"/>
      <c r="B5" s="170"/>
      <c r="C5" s="145"/>
      <c r="D5" s="318"/>
      <c r="E5" s="146"/>
      <c r="F5" s="149" t="s">
        <v>11</v>
      </c>
      <c r="G5" s="150">
        <v>0.2</v>
      </c>
      <c r="H5" s="149" t="s">
        <v>70</v>
      </c>
      <c r="I5" s="151"/>
      <c r="J5" s="147"/>
      <c r="K5" s="147"/>
      <c r="L5" s="147"/>
      <c r="M5" s="147"/>
      <c r="N5" s="147"/>
      <c r="O5" s="148"/>
      <c r="P5" s="167"/>
    </row>
    <row r="6" spans="1:16" ht="13.2">
      <c r="A6" s="173"/>
      <c r="B6" s="170"/>
      <c r="C6" s="145"/>
      <c r="D6" s="318"/>
      <c r="E6" s="146"/>
      <c r="F6" s="149" t="s">
        <v>9</v>
      </c>
      <c r="G6" s="150">
        <v>0.4</v>
      </c>
      <c r="H6" s="149" t="s">
        <v>15</v>
      </c>
      <c r="I6" s="151"/>
      <c r="J6" s="147"/>
      <c r="K6" s="147"/>
      <c r="L6" s="147"/>
      <c r="M6" s="147"/>
      <c r="N6" s="147"/>
      <c r="O6" s="148"/>
      <c r="P6" s="167"/>
    </row>
    <row r="7" spans="1:16" ht="13.8" thickBot="1">
      <c r="A7" s="175"/>
      <c r="B7" s="176"/>
      <c r="C7" s="177"/>
      <c r="D7" s="321"/>
      <c r="E7" s="178"/>
      <c r="F7" s="179" t="s">
        <v>71</v>
      </c>
      <c r="G7" s="180">
        <v>0.15</v>
      </c>
      <c r="H7" s="179" t="s">
        <v>72</v>
      </c>
      <c r="I7" s="181"/>
      <c r="J7" s="182"/>
      <c r="K7" s="182"/>
      <c r="L7" s="182"/>
      <c r="M7" s="182"/>
      <c r="N7" s="182"/>
      <c r="O7" s="183"/>
      <c r="P7" s="184"/>
    </row>
    <row r="8" spans="1:16" ht="13.2" customHeight="1" thickTop="1">
      <c r="A8" s="172" t="s">
        <v>73</v>
      </c>
      <c r="B8" s="169" t="s">
        <v>74</v>
      </c>
      <c r="C8" s="152">
        <v>5</v>
      </c>
      <c r="D8" s="320">
        <v>9.0999999999999998E-2</v>
      </c>
      <c r="E8" s="153">
        <v>0.4</v>
      </c>
      <c r="F8" s="154" t="s">
        <v>17</v>
      </c>
      <c r="G8" s="155">
        <v>0.8</v>
      </c>
      <c r="H8" s="154" t="s">
        <v>41</v>
      </c>
      <c r="I8" s="156"/>
      <c r="J8" s="157">
        <f>IF(G8=1, I8, SUMPRODUCT(I8:I9, G8:G9))</f>
        <v>16</v>
      </c>
      <c r="K8" s="157">
        <f>SUMIF(I8:I9, "&lt;&gt;", G8:G9) / SUMIF(G8:G9, "&lt;&gt;")</f>
        <v>0.2</v>
      </c>
      <c r="L8" s="157">
        <f>IFERROR(J8/K8, "No grades yet")</f>
        <v>80</v>
      </c>
      <c r="M8" s="157">
        <f>IFERROR(IF(K8 = 1, "Completed module", IF(((70 - J8) / (1 - K8)) &gt; 100, "Unattainable", IF(((70 - J8) / (1 - K8)) &lt; 0, "Already attained", ((70 - J8) / (1 - K8))))), "-")</f>
        <v>67.5</v>
      </c>
      <c r="N8" s="157">
        <f>IFERROR(IF(K8 = 1, "Completed module", IF(((60 - J8) / (1 - K8)) &gt; 100, "Unattainable", IF(((60 - J8) / (1 - K8)) &lt; 0, "Already attained", ((60 - J8) / (1 - K8))))), "-")</f>
        <v>55</v>
      </c>
      <c r="O8" s="158">
        <f>IFERROR(IF(K8 = 1, "Completed module", IF(((50 - J8) / (1 - K8)) &gt; 100, "Unattainable", IF(((50 - J8) / (1 - K8)) &lt; 0, "Already attained", ((50 - J8) / (1 - K8))))), "-")</f>
        <v>42.5</v>
      </c>
      <c r="P8" s="166">
        <f>IFERROR(IF(K8 = 1, "Completed module", IF(((40 - J8) / (1 - K8)) &gt; 100, "Unattainable", IF(((40 - J8) / (1 - K8)) &lt; 0, "Already attained", ((40 - J8) / (1 - K8))))), "-")</f>
        <v>30</v>
      </c>
    </row>
    <row r="9" spans="1:16" ht="13.8" thickBot="1">
      <c r="A9" s="175"/>
      <c r="B9" s="176"/>
      <c r="C9" s="177"/>
      <c r="D9" s="321"/>
      <c r="E9" s="178"/>
      <c r="F9" s="179" t="s">
        <v>32</v>
      </c>
      <c r="G9" s="180">
        <v>0.2</v>
      </c>
      <c r="H9" s="179" t="s">
        <v>75</v>
      </c>
      <c r="I9" s="181">
        <v>80</v>
      </c>
      <c r="J9" s="182"/>
      <c r="K9" s="182"/>
      <c r="L9" s="182"/>
      <c r="M9" s="182"/>
      <c r="N9" s="182"/>
      <c r="O9" s="183"/>
      <c r="P9" s="184"/>
    </row>
    <row r="10" spans="1:16" ht="13.2" customHeight="1" thickTop="1">
      <c r="A10" s="172" t="s">
        <v>76</v>
      </c>
      <c r="B10" s="169" t="s">
        <v>77</v>
      </c>
      <c r="C10" s="325">
        <v>5</v>
      </c>
      <c r="D10" s="320">
        <v>9.0999999999999998E-2</v>
      </c>
      <c r="E10" s="153">
        <v>0.4</v>
      </c>
      <c r="F10" s="154" t="s">
        <v>17</v>
      </c>
      <c r="G10" s="324">
        <v>0.67</v>
      </c>
      <c r="H10" s="154" t="s">
        <v>41</v>
      </c>
      <c r="I10" s="156"/>
      <c r="J10" s="157">
        <f>IF(G10=1, I10, SUMPRODUCT(I10:I11, G10:G11))</f>
        <v>0</v>
      </c>
      <c r="K10" s="157">
        <f>SUMIF(I10:I11, "&lt;&gt;", G10:G11) / SUMIF(G10:G11, "&lt;&gt;")</f>
        <v>0</v>
      </c>
      <c r="L10" s="157" t="str">
        <f>IFERROR(J10/K10, "No grades yet")</f>
        <v>No grades yet</v>
      </c>
      <c r="M10" s="157">
        <f>IFERROR(IF(K10 = 1, "Completed module", IF(((70 - J10) / (1 - K10)) &gt; 100, "Unattainable", IF(((70 - J10) / (1 - K10)) &lt; 0, "Already attained", ((70 - J10) / (1 - K10))))), "-")</f>
        <v>70</v>
      </c>
      <c r="N10" s="157">
        <f>IFERROR(IF(K10 = 1, "Completed module", IF(((60 - J10) / (1 - K10)) &gt; 100, "Unattainable", IF(((60 - J10) / (1 - K10)) &lt; 0, "Already attained", ((60 - J10) / (1 - K10))))), "-")</f>
        <v>60</v>
      </c>
      <c r="O10" s="158">
        <f>IFERROR(IF(K10 = 1, "Completed module", IF(((50 - J10) / (1 - K10)) &gt; 100, "Unattainable", IF(((50 - J10) / (1 - K10)) &lt; 0, "Already attained", ((50 - J10) / (1 - K10))))), "-")</f>
        <v>50</v>
      </c>
      <c r="P10" s="166">
        <f>IFERROR(IF(K10 = 1, "Completed module", IF(((40 - J10) / (1 - K10)) &gt; 100, "Unattainable", IF(((40 - J10) / (1 - K10)) &lt; 0, "Already attained", ((40 - J10) / (1 - K10))))), "-")</f>
        <v>40</v>
      </c>
    </row>
    <row r="11" spans="1:16" ht="13.8" thickBot="1">
      <c r="A11" s="175"/>
      <c r="B11" s="176"/>
      <c r="C11" s="327"/>
      <c r="D11" s="321"/>
      <c r="E11" s="178"/>
      <c r="F11" s="179" t="s">
        <v>9</v>
      </c>
      <c r="G11" s="322">
        <v>0.33</v>
      </c>
      <c r="H11" s="179" t="s">
        <v>78</v>
      </c>
      <c r="I11" s="181"/>
      <c r="J11" s="182"/>
      <c r="K11" s="182"/>
      <c r="L11" s="182"/>
      <c r="M11" s="182"/>
      <c r="N11" s="182"/>
      <c r="O11" s="183"/>
      <c r="P11" s="184"/>
    </row>
    <row r="12" spans="1:16" ht="13.8" thickTop="1">
      <c r="A12" s="172" t="s">
        <v>79</v>
      </c>
      <c r="B12" s="169" t="s">
        <v>80</v>
      </c>
      <c r="C12" s="325">
        <v>5</v>
      </c>
      <c r="D12" s="320">
        <v>9.0999999999999998E-2</v>
      </c>
      <c r="E12" s="153">
        <v>0.4</v>
      </c>
      <c r="F12" s="154" t="s">
        <v>17</v>
      </c>
      <c r="G12" s="324">
        <v>0.8</v>
      </c>
      <c r="H12" s="154" t="s">
        <v>41</v>
      </c>
      <c r="I12" s="156"/>
      <c r="J12" s="157">
        <f>IF(G12=1, I12, SUMPRODUCT(I12:I14, G12:G14))</f>
        <v>0</v>
      </c>
      <c r="K12" s="157">
        <f>SUMIF(I12:I14, "&lt;&gt;", G12:G14) / SUMIF(G12:G14, "&lt;&gt;")</f>
        <v>0</v>
      </c>
      <c r="L12" s="157" t="str">
        <f>IFERROR(J12/K12, "No grades yet")</f>
        <v>No grades yet</v>
      </c>
      <c r="M12" s="157">
        <f>IFERROR(IF(K12 = 1, "Completed module", IF(((70 - J12) / (1 - K12)) &gt; 100, "Unattainable", IF(((70 - J12) / (1 - K12)) &lt; 0, "Already attained", ((70 - J12) / (1 - K12))))), "-")</f>
        <v>70</v>
      </c>
      <c r="N12" s="157">
        <f>IFERROR(IF(K12 = 1, "Completed module", IF(((60 - J12) / (1 - K12)) &gt; 100, "Unattainable", IF(((60 - J12) / (1 - K12)) &lt; 0, "Already attained", ((60 - J12) / (1 - K12))))), "-")</f>
        <v>60</v>
      </c>
      <c r="O12" s="158">
        <f>IFERROR(IF(K12 = 1, "Completed module", IF(((50 - J12) / (1 - K12)) &gt; 100, "Unattainable", IF(((50 - J12) / (1 - K12)) &lt; 0, "Already attained", ((50 - J12) / (1 - K12))))), "-")</f>
        <v>50</v>
      </c>
      <c r="P12" s="166">
        <f>IFERROR(IF(K12 = 1, "Completed module", IF(((40 - J12) / (1 - K12)) &gt; 100, "Unattainable", IF(((40 - J12) / (1 - K12)) &lt; 0, "Already attained", ((40 - J12) / (1 - K12))))), "-")</f>
        <v>40</v>
      </c>
    </row>
    <row r="13" spans="1:16" ht="13.2">
      <c r="A13" s="173"/>
      <c r="B13" s="170"/>
      <c r="C13" s="326"/>
      <c r="D13" s="318"/>
      <c r="E13" s="146"/>
      <c r="F13" s="149" t="s">
        <v>32</v>
      </c>
      <c r="G13" s="323">
        <v>0.1</v>
      </c>
      <c r="H13" s="149" t="s">
        <v>81</v>
      </c>
      <c r="I13" s="151"/>
      <c r="J13" s="147"/>
      <c r="K13" s="147"/>
      <c r="L13" s="147"/>
      <c r="M13" s="147"/>
      <c r="N13" s="147"/>
      <c r="O13" s="148"/>
      <c r="P13" s="167"/>
    </row>
    <row r="14" spans="1:16" ht="13.8" thickBot="1">
      <c r="A14" s="175"/>
      <c r="B14" s="176"/>
      <c r="C14" s="327"/>
      <c r="D14" s="321"/>
      <c r="E14" s="178"/>
      <c r="F14" s="179" t="s">
        <v>32</v>
      </c>
      <c r="G14" s="322">
        <v>0.1</v>
      </c>
      <c r="H14" s="179" t="s">
        <v>82</v>
      </c>
      <c r="I14" s="181"/>
      <c r="J14" s="182"/>
      <c r="K14" s="182"/>
      <c r="L14" s="182"/>
      <c r="M14" s="182"/>
      <c r="N14" s="182"/>
      <c r="O14" s="183"/>
      <c r="P14" s="184"/>
    </row>
    <row r="15" spans="1:16" ht="15.75" customHeight="1" thickTop="1">
      <c r="A15" s="172" t="s">
        <v>83</v>
      </c>
      <c r="B15" s="169" t="s">
        <v>84</v>
      </c>
      <c r="C15" s="152">
        <v>5</v>
      </c>
      <c r="D15" s="320">
        <v>9.0999999999999998E-2</v>
      </c>
      <c r="E15" s="153">
        <v>0.4</v>
      </c>
      <c r="F15" s="154" t="s">
        <v>17</v>
      </c>
      <c r="G15" s="155">
        <v>0.75</v>
      </c>
      <c r="H15" s="154" t="s">
        <v>41</v>
      </c>
      <c r="I15" s="156"/>
      <c r="J15" s="157">
        <f>IF(G15=1, I15, SUMPRODUCT(I15:I16, G15:G16))</f>
        <v>0</v>
      </c>
      <c r="K15" s="157">
        <f>SUMIF(I15:I16, "&lt;&gt;", G15:G16) / SUMIF(G15:G16, "&lt;&gt;")</f>
        <v>0</v>
      </c>
      <c r="L15" s="157" t="str">
        <f>IFERROR(J15/K15, "No grades yet")</f>
        <v>No grades yet</v>
      </c>
      <c r="M15" s="157">
        <f>IFERROR(IF(K15 = 1, "Completed module", IF(((70 - J15) / (1 - K15)) &gt; 100, "Unattainable", IF(((70 - J15) / (1 - K15)) &lt; 0, "Already attained", ((70 - J15) / (1 - K15))))), "-")</f>
        <v>70</v>
      </c>
      <c r="N15" s="157">
        <f>IFERROR(IF(K15 = 1, "Completed module", IF(((60 - J15) / (1 - K15)) &gt; 100, "Unattainable", IF(((60 - J15) / (1 - K15)) &lt; 0, "Already attained", ((60 - J15) / (1 - K15))))), "-")</f>
        <v>60</v>
      </c>
      <c r="O15" s="158">
        <f>IFERROR(IF(K15 = 1, "Completed module", IF(((50 - J15) / (1 - K15)) &gt; 100, "Unattainable", IF(((50 - J15) / (1 - K15)) &lt; 0, "Already attained", ((50 - J15) / (1 - K15))))), "-")</f>
        <v>50</v>
      </c>
      <c r="P15" s="166">
        <f>IFERROR(IF(K15 = 1, "Completed module", IF(((40 - J15) / (1 - K15)) &gt; 100, "Unattainable", IF(((40 - J15) / (1 - K15)) &lt; 0, "Already attained", ((40 - J15) / (1 - K15))))), "-")</f>
        <v>40</v>
      </c>
    </row>
    <row r="16" spans="1:16" ht="13.2" customHeight="1" thickBot="1">
      <c r="A16" s="175"/>
      <c r="B16" s="176"/>
      <c r="C16" s="177"/>
      <c r="D16" s="321"/>
      <c r="E16" s="178"/>
      <c r="F16" s="179" t="s">
        <v>47</v>
      </c>
      <c r="G16" s="180">
        <v>0.25</v>
      </c>
      <c r="H16" s="179" t="s">
        <v>85</v>
      </c>
      <c r="I16" s="181"/>
      <c r="J16" s="182"/>
      <c r="K16" s="182"/>
      <c r="L16" s="182"/>
      <c r="M16" s="182"/>
      <c r="N16" s="182"/>
      <c r="O16" s="183"/>
      <c r="P16" s="184"/>
    </row>
    <row r="17" spans="1:16" ht="15.75" customHeight="1" thickTop="1" thickBot="1">
      <c r="A17" s="336" t="s">
        <v>86</v>
      </c>
      <c r="B17" s="335" t="s">
        <v>87</v>
      </c>
      <c r="C17" s="329">
        <v>5</v>
      </c>
      <c r="D17" s="330">
        <v>0</v>
      </c>
      <c r="E17" s="331" t="s">
        <v>88</v>
      </c>
      <c r="F17" s="328" t="s">
        <v>89</v>
      </c>
      <c r="G17" s="332" t="s">
        <v>90</v>
      </c>
      <c r="H17" s="328" t="s">
        <v>90</v>
      </c>
      <c r="I17" s="333"/>
      <c r="J17" s="334" t="e">
        <f>IF(G17=1, I17, SUMPRODUCT(I17:I17, G17:G17))</f>
        <v>#VALUE!</v>
      </c>
      <c r="K17" s="334" t="e">
        <f>SUMIF(I17:I17, "&lt;&gt;", G17:G17) / SUMIF(G17:G17, "&lt;&gt;")</f>
        <v>#DIV/0!</v>
      </c>
      <c r="L17" s="334" t="str">
        <f>IFERROR(J17/K17, "No grades yet")</f>
        <v>No grades yet</v>
      </c>
      <c r="M17" s="334" t="str">
        <f>IFERROR(IF(K17 = 1, "Completed module", IF(((70 - J17) / (1 - K17)) &gt; 100, "Unattainable", IF(((70 - J17) / (1 - K17)) &lt; 0, "Already attained", ((70 - J17) / (1 - K17))))), "-")</f>
        <v>-</v>
      </c>
      <c r="N17" s="334" t="str">
        <f>IFERROR(IF(K17 = 1, "Completed module", IF(((60 - J17) / (1 - K17)) &gt; 100, "Unattainable", IF(((60 - J17) / (1 - K17)) &lt; 0, "Already attained", ((60 - J17) / (1 - K17))))), "-")</f>
        <v>-</v>
      </c>
      <c r="O17" s="223" t="str">
        <f>IFERROR(IF(K17 = 1, "Completed module", IF(((50 - J17) / (1 - K17)) &gt; 100, "Unattainable", IF(((50 - J17) / (1 - K17)) &lt; 0, "Already attained", ((50 - J17) / (1 - K17))))), "-")</f>
        <v>-</v>
      </c>
      <c r="P17" s="224" t="str">
        <f>IFERROR(IF(K17 = 1, "Completed module", IF(((40 - J17) / (1 - K17)) &gt; 100, "Unattainable", IF(((40 - J17) / (1 - K17)) &lt; 0, "Already attained", ((40 - J17) / (1 - K17))))), "-")</f>
        <v>-</v>
      </c>
    </row>
    <row r="18" spans="1:16" ht="15.75" customHeight="1" thickTop="1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6" ht="15.6" customHeight="1" thickBot="1">
      <c r="A19" s="103" t="s">
        <v>94</v>
      </c>
      <c r="B19" s="104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6" ht="13.8" thickBot="1">
      <c r="A20" s="4" t="s">
        <v>65</v>
      </c>
      <c r="B20" s="4" t="s">
        <v>1</v>
      </c>
      <c r="C20" s="5" t="s">
        <v>0</v>
      </c>
      <c r="D20" s="5" t="s">
        <v>91</v>
      </c>
      <c r="E20" s="5" t="s">
        <v>92</v>
      </c>
      <c r="F20" s="100" t="s">
        <v>93</v>
      </c>
      <c r="G20" s="101"/>
      <c r="H20" s="102"/>
      <c r="I20" s="5" t="s">
        <v>2</v>
      </c>
      <c r="J20" s="5" t="s">
        <v>3</v>
      </c>
      <c r="K20" s="5" t="s">
        <v>4</v>
      </c>
      <c r="L20" s="6" t="s">
        <v>5</v>
      </c>
      <c r="M20" s="5" t="s">
        <v>6</v>
      </c>
      <c r="N20" s="7" t="s">
        <v>7</v>
      </c>
      <c r="O20" s="14" t="s">
        <v>194</v>
      </c>
      <c r="P20" s="14" t="s">
        <v>195</v>
      </c>
    </row>
    <row r="21" spans="1:16" ht="14.4" customHeight="1" thickTop="1">
      <c r="A21" s="172" t="s">
        <v>95</v>
      </c>
      <c r="B21" s="169" t="s">
        <v>96</v>
      </c>
      <c r="C21" s="152">
        <v>5</v>
      </c>
      <c r="D21" s="320">
        <v>9.0999999999999998E-2</v>
      </c>
      <c r="E21" s="153">
        <v>0.4</v>
      </c>
      <c r="F21" s="154" t="s">
        <v>17</v>
      </c>
      <c r="G21" s="155">
        <v>0.82</v>
      </c>
      <c r="H21" s="154" t="s">
        <v>41</v>
      </c>
      <c r="I21" s="156">
        <v>54</v>
      </c>
      <c r="J21" s="157">
        <f>IF(G21=1, I21, SUMPRODUCT(I21:I24, G21:G24))</f>
        <v>55.919999999999987</v>
      </c>
      <c r="K21" s="157">
        <f>SUMIF(I21:I24, "&lt;&gt;", G21:G24) / SUMIF(G21:G24, "&lt;&gt;")</f>
        <v>1</v>
      </c>
      <c r="L21" s="157">
        <f>IFERROR(J21/K21, "No grades yet")</f>
        <v>55.919999999999987</v>
      </c>
      <c r="M21" s="157" t="str">
        <f>IFERROR(IF(K21 = 1, "Completed module", IF(((70 - J21) / (1 - K21)) &gt; 100, "Unattainable", IF(((70 - J21) / (1 - K21)) &lt; 0, "Already attained", ((70 - J21) / (1 - K21))))), "-")</f>
        <v>Completed module</v>
      </c>
      <c r="N21" s="157" t="str">
        <f>IFERROR(IF(K21 = 1, "Completed module", IF(((60 - J21) / (1 - K21)) &gt; 100, "Unattainable", IF(((60 - J21) / (1 - K21)) &lt; 0, "Already attained", ((60 - J21) / (1 - K21))))), "-")</f>
        <v>Completed module</v>
      </c>
      <c r="O21" s="158" t="str">
        <f>IFERROR(IF(K21 = 1, "Completed module", IF(((50 - J21) / (1 - K21)) &gt; 100, "Unattainable", IF(((50 - J21) / (1 - K21)) &lt; 0, "Already attained", ((50 - J21) / (1 - K21))))), "-")</f>
        <v>Completed module</v>
      </c>
      <c r="P21" s="166" t="str">
        <f>IFERROR(IF(K21 = 1, "Completed module", IF(((40 - J21) / (1 - K21)) &gt; 100, "Unattainable", IF(((40 - J21) / (1 - K21)) &lt; 0, "Already attained", ((40 - J21) / (1 - K21))))), "-")</f>
        <v>Completed module</v>
      </c>
    </row>
    <row r="22" spans="1:16" ht="15.75" customHeight="1">
      <c r="A22" s="173"/>
      <c r="B22" s="170"/>
      <c r="C22" s="145"/>
      <c r="D22" s="318"/>
      <c r="E22" s="146"/>
      <c r="F22" s="149" t="s">
        <v>29</v>
      </c>
      <c r="G22" s="150">
        <v>0.06</v>
      </c>
      <c r="H22" s="149" t="s">
        <v>97</v>
      </c>
      <c r="I22" s="151">
        <v>39</v>
      </c>
      <c r="J22" s="147"/>
      <c r="K22" s="147"/>
      <c r="L22" s="147"/>
      <c r="M22" s="147"/>
      <c r="N22" s="147"/>
      <c r="O22" s="148"/>
      <c r="P22" s="167"/>
    </row>
    <row r="23" spans="1:16" ht="15.75" customHeight="1">
      <c r="A23" s="173"/>
      <c r="B23" s="170"/>
      <c r="C23" s="145"/>
      <c r="D23" s="318"/>
      <c r="E23" s="146"/>
      <c r="F23" s="149" t="s">
        <v>29</v>
      </c>
      <c r="G23" s="150">
        <v>0.06</v>
      </c>
      <c r="H23" s="149" t="s">
        <v>98</v>
      </c>
      <c r="I23" s="151">
        <v>65</v>
      </c>
      <c r="J23" s="147"/>
      <c r="K23" s="147"/>
      <c r="L23" s="147"/>
      <c r="M23" s="147"/>
      <c r="N23" s="147"/>
      <c r="O23" s="148"/>
      <c r="P23" s="167"/>
    </row>
    <row r="24" spans="1:16" ht="15.75" customHeight="1" thickBot="1">
      <c r="A24" s="175"/>
      <c r="B24" s="176"/>
      <c r="C24" s="177"/>
      <c r="D24" s="321"/>
      <c r="E24" s="178"/>
      <c r="F24" s="179" t="s">
        <v>29</v>
      </c>
      <c r="G24" s="180">
        <v>0.06</v>
      </c>
      <c r="H24" s="179" t="s">
        <v>99</v>
      </c>
      <c r="I24" s="181">
        <v>90</v>
      </c>
      <c r="J24" s="182"/>
      <c r="K24" s="182"/>
      <c r="L24" s="182"/>
      <c r="M24" s="182"/>
      <c r="N24" s="182"/>
      <c r="O24" s="183"/>
      <c r="P24" s="184"/>
    </row>
    <row r="25" spans="1:16" ht="15.75" customHeight="1" thickTop="1">
      <c r="A25" s="172" t="s">
        <v>100</v>
      </c>
      <c r="B25" s="169" t="s">
        <v>101</v>
      </c>
      <c r="C25" s="152">
        <v>5</v>
      </c>
      <c r="D25" s="320">
        <v>9.0999999999999998E-2</v>
      </c>
      <c r="E25" s="153">
        <v>0.4</v>
      </c>
      <c r="F25" s="154" t="s">
        <v>17</v>
      </c>
      <c r="G25" s="155">
        <v>0.8</v>
      </c>
      <c r="H25" s="154" t="s">
        <v>41</v>
      </c>
      <c r="I25" s="156"/>
      <c r="J25" s="157">
        <f>IF(G25=1, I25, SUMPRODUCT(I25:I26, G25:G26))</f>
        <v>0</v>
      </c>
      <c r="K25" s="157">
        <f>SUMIF(I25:I26, "&lt;&gt;", G25:G26) / SUMIF(G25:G26, "&lt;&gt;")</f>
        <v>0</v>
      </c>
      <c r="L25" s="157" t="str">
        <f>IFERROR(J25/K25, "No grades yet")</f>
        <v>No grades yet</v>
      </c>
      <c r="M25" s="157">
        <f>IFERROR(IF(K25 = 1, "Completed module", IF(((70 - J25) / (1 - K25)) &gt; 100, "Unattainable", IF(((70 - J25) / (1 - K25)) &lt; 0, "Already attained", ((70 - J25) / (1 - K25))))), "-")</f>
        <v>70</v>
      </c>
      <c r="N25" s="157">
        <f>IFERROR(IF(K25 = 1, "Completed module", IF(((60 - J25) / (1 - K25)) &gt; 100, "Unattainable", IF(((60 - J25) / (1 - K25)) &lt; 0, "Already attained", ((60 - J25) / (1 - K25))))), "-")</f>
        <v>60</v>
      </c>
      <c r="O25" s="158">
        <f>IFERROR(IF(K25 = 1, "Completed module", IF(((50 - J25) / (1 - K25)) &gt; 100, "Unattainable", IF(((50 - J25) / (1 - K25)) &lt; 0, "Already attained", ((50 - J25) / (1 - K25))))), "-")</f>
        <v>50</v>
      </c>
      <c r="P25" s="166">
        <f>IFERROR(IF(K25 = 1, "Completed module", IF(((40 - J25) / (1 - K25)) &gt; 100, "Unattainable", IF(((40 - J25) / (1 - K25)) &lt; 0, "Already attained", ((40 - J25) / (1 - K25))))), "-")</f>
        <v>40</v>
      </c>
    </row>
    <row r="26" spans="1:16" ht="15.75" customHeight="1" thickBot="1">
      <c r="A26" s="175"/>
      <c r="B26" s="176"/>
      <c r="C26" s="177"/>
      <c r="D26" s="321"/>
      <c r="E26" s="178"/>
      <c r="F26" s="179" t="s">
        <v>47</v>
      </c>
      <c r="G26" s="180">
        <v>0.2</v>
      </c>
      <c r="H26" s="179" t="s">
        <v>47</v>
      </c>
      <c r="I26" s="181"/>
      <c r="J26" s="182"/>
      <c r="K26" s="182"/>
      <c r="L26" s="182"/>
      <c r="M26" s="182"/>
      <c r="N26" s="182"/>
      <c r="O26" s="183"/>
      <c r="P26" s="184"/>
    </row>
    <row r="27" spans="1:16" ht="15.6" customHeight="1" thickTop="1">
      <c r="A27" s="172" t="s">
        <v>102</v>
      </c>
      <c r="B27" s="169" t="s">
        <v>103</v>
      </c>
      <c r="C27" s="152">
        <v>5</v>
      </c>
      <c r="D27" s="320">
        <v>9.0999999999999998E-2</v>
      </c>
      <c r="E27" s="153">
        <v>0.4</v>
      </c>
      <c r="F27" s="154" t="s">
        <v>9</v>
      </c>
      <c r="G27" s="155">
        <v>0.7</v>
      </c>
      <c r="H27" s="154" t="s">
        <v>104</v>
      </c>
      <c r="I27" s="156">
        <v>32</v>
      </c>
      <c r="J27" s="157">
        <f>IF(G27=1, I27, SUMPRODUCT(I27:I29, G27:G29))</f>
        <v>42.5</v>
      </c>
      <c r="K27" s="157">
        <f>SUMIF(I27:I29, "&lt;&gt;", G27:G29) / SUMIF(G27:G29, "&lt;&gt;")</f>
        <v>1</v>
      </c>
      <c r="L27" s="157">
        <f>IFERROR(J27/K27, "No grades yet")</f>
        <v>42.5</v>
      </c>
      <c r="M27" s="157" t="str">
        <f>IFERROR(IF(K27 = 1, "Completed module", IF(((70 - J27) / (1 - K27)) &gt; 100, "Unattainable", IF(((70 - J27) / (1 - K27)) &lt; 0, "Already attained", ((70 - J27) / (1 - K27))))), "-")</f>
        <v>Completed module</v>
      </c>
      <c r="N27" s="157" t="str">
        <f>IFERROR(IF(K27 = 1, "Completed module", IF(((60 - J27) / (1 - K27)) &gt; 100, "Unattainable", IF(((60 - J27) / (1 - K27)) &lt; 0, "Already attained", ((60 - J27) / (1 - K27))))), "-")</f>
        <v>Completed module</v>
      </c>
      <c r="O27" s="158" t="str">
        <f>IFERROR(IF(K27 = 1, "Completed module", IF(((50 - J27) / (1 - K27)) &gt; 100, "Unattainable", IF(((50 - J27) / (1 - K27)) &lt; 0, "Already attained", ((50 - J27) / (1 - K27))))), "-")</f>
        <v>Completed module</v>
      </c>
      <c r="P27" s="166" t="str">
        <f>IFERROR(IF(K27 = 1, "Completed module", IF(((40 - J27) / (1 - K27)) &gt; 100, "Unattainable", IF(((40 - J27) / (1 - K27)) &lt; 0, "Already attained", ((40 - J27) / (1 - K27))))), "-")</f>
        <v>Completed module</v>
      </c>
    </row>
    <row r="28" spans="1:16" ht="15.75" customHeight="1">
      <c r="A28" s="173"/>
      <c r="B28" s="170"/>
      <c r="C28" s="145"/>
      <c r="D28" s="318"/>
      <c r="E28" s="146"/>
      <c r="F28" s="149" t="s">
        <v>20</v>
      </c>
      <c r="G28" s="150">
        <v>0.15</v>
      </c>
      <c r="H28" s="149" t="s">
        <v>105</v>
      </c>
      <c r="I28" s="151">
        <v>80</v>
      </c>
      <c r="J28" s="147"/>
      <c r="K28" s="147"/>
      <c r="L28" s="147"/>
      <c r="M28" s="147"/>
      <c r="N28" s="147"/>
      <c r="O28" s="148"/>
      <c r="P28" s="167"/>
    </row>
    <row r="29" spans="1:16" ht="15.75" customHeight="1" thickBot="1">
      <c r="A29" s="175"/>
      <c r="B29" s="176"/>
      <c r="C29" s="177"/>
      <c r="D29" s="321"/>
      <c r="E29" s="178"/>
      <c r="F29" s="179" t="s">
        <v>11</v>
      </c>
      <c r="G29" s="180">
        <v>0.15</v>
      </c>
      <c r="H29" s="179" t="s">
        <v>106</v>
      </c>
      <c r="I29" s="181">
        <v>54</v>
      </c>
      <c r="J29" s="182"/>
      <c r="K29" s="182"/>
      <c r="L29" s="182"/>
      <c r="M29" s="182"/>
      <c r="N29" s="182"/>
      <c r="O29" s="183"/>
      <c r="P29" s="184"/>
    </row>
    <row r="30" spans="1:16" ht="21" customHeight="1" thickTop="1">
      <c r="A30" s="172" t="s">
        <v>107</v>
      </c>
      <c r="B30" s="169" t="s">
        <v>108</v>
      </c>
      <c r="C30" s="152">
        <v>5</v>
      </c>
      <c r="D30" s="320">
        <v>9.0999999999999998E-2</v>
      </c>
      <c r="E30" s="153">
        <v>0.4</v>
      </c>
      <c r="F30" s="154" t="s">
        <v>17</v>
      </c>
      <c r="G30" s="155">
        <v>0.6</v>
      </c>
      <c r="H30" s="154" t="s">
        <v>41</v>
      </c>
      <c r="I30" s="156">
        <v>38</v>
      </c>
      <c r="J30" s="157">
        <f>IF(G30=1, I30, SUMPRODUCT(I30:I31, G30:G31))</f>
        <v>62</v>
      </c>
      <c r="K30" s="157">
        <f>SUMIF(I30:I31, "&lt;&gt;", G30:G31) / SUMIF(G30:G31, "&lt;&gt;")</f>
        <v>1</v>
      </c>
      <c r="L30" s="157">
        <f>IFERROR(J30/K30, "No grades yet")</f>
        <v>62</v>
      </c>
      <c r="M30" s="157" t="str">
        <f>IFERROR(IF(K30 = 1, "Completed module", IF(((70 - J30) / (1 - K30)) &gt; 100, "Unattainable", IF(((70 - J30) / (1 - K30)) &lt; 0, "Already attained", ((70 - J30) / (1 - K30))))), "-")</f>
        <v>Completed module</v>
      </c>
      <c r="N30" s="157" t="str">
        <f>IFERROR(IF(K30 = 1, "Completed module", IF(((60 - J30) / (1 - K30)) &gt; 100, "Unattainable", IF(((60 - J30) / (1 - K30)) &lt; 0, "Already attained", ((60 - J30) / (1 - K30))))), "-")</f>
        <v>Completed module</v>
      </c>
      <c r="O30" s="158" t="str">
        <f>IFERROR(IF(K30 = 1, "Completed module", IF(((50 - J30) / (1 - K30)) &gt; 100, "Unattainable", IF(((50 - J30) / (1 - K30)) &lt; 0, "Already attained", ((50 - J30) / (1 - K30))))), "-")</f>
        <v>Completed module</v>
      </c>
      <c r="P30" s="166" t="str">
        <f>IFERROR(IF(K30 = 1, "Completed module", IF(((40 - J30) / (1 - K30)) &gt; 100, "Unattainable", IF(((40 - J30) / (1 - K30)) &lt; 0, "Already attained", ((40 - J30) / (1 - K30))))), "-")</f>
        <v>Completed module</v>
      </c>
    </row>
    <row r="31" spans="1:16" ht="16.2" customHeight="1" thickBot="1">
      <c r="A31" s="175"/>
      <c r="B31" s="176"/>
      <c r="C31" s="177"/>
      <c r="D31" s="321"/>
      <c r="E31" s="178"/>
      <c r="F31" s="179" t="s">
        <v>13</v>
      </c>
      <c r="G31" s="180">
        <v>0.4</v>
      </c>
      <c r="H31" s="179" t="s">
        <v>109</v>
      </c>
      <c r="I31" s="181">
        <v>98</v>
      </c>
      <c r="J31" s="182"/>
      <c r="K31" s="182"/>
      <c r="L31" s="182"/>
      <c r="M31" s="182"/>
      <c r="N31" s="182"/>
      <c r="O31" s="183"/>
      <c r="P31" s="184"/>
    </row>
    <row r="32" spans="1:16" ht="39" customHeight="1" thickTop="1" thickBot="1">
      <c r="A32" s="337" t="s">
        <v>110</v>
      </c>
      <c r="B32" s="338" t="s">
        <v>111</v>
      </c>
      <c r="C32" s="339">
        <v>5</v>
      </c>
      <c r="D32" s="340">
        <v>9.0999999999999998E-2</v>
      </c>
      <c r="E32" s="341">
        <v>0.4</v>
      </c>
      <c r="F32" s="342" t="s">
        <v>17</v>
      </c>
      <c r="G32" s="343">
        <v>1</v>
      </c>
      <c r="H32" s="342" t="s">
        <v>41</v>
      </c>
      <c r="I32" s="344"/>
      <c r="J32" s="345">
        <f>IF(G32=1, I32, SUMPRODUCT(I32:I32, G32:G32))</f>
        <v>0</v>
      </c>
      <c r="K32" s="345">
        <f>SUMIF(I32:I32, "&lt;&gt;", G32:G32) / SUMIF(G32:G32, "&lt;&gt;")</f>
        <v>0</v>
      </c>
      <c r="L32" s="345" t="str">
        <f>IFERROR(J32/K32, "No grades yet")</f>
        <v>No grades yet</v>
      </c>
      <c r="M32" s="345">
        <f>IFERROR(IF(K32 = 1, "Completed module", IF(((70 - J32) / (1 - K32)) &gt; 100, "Unattainable", IF(((70 - J32) / (1 - K32)) &lt; 0, "Already attained", ((70 - J32) / (1 - K32))))), "-")</f>
        <v>70</v>
      </c>
      <c r="N32" s="345">
        <f>IFERROR(IF(K32 = 1, "Completed module", IF(((60 - J32) / (1 - K32)) &gt; 100, "Unattainable", IF(((60 - J32) / (1 - K32)) &lt; 0, "Already attained", ((60 - J32) / (1 - K32))))), "-")</f>
        <v>60</v>
      </c>
      <c r="O32" s="234">
        <f>IFERROR(IF(K32 = 1, "Completed module", IF(((50 - J32) / (1 - K32)) &gt; 100, "Unattainable", IF(((50 - J32) / (1 - K32)) &lt; 0, "Already attained", ((50 - J32) / (1 - K32))))), "-")</f>
        <v>50</v>
      </c>
      <c r="P32" s="235">
        <f>IFERROR(IF(K32 = 1, "Completed module", IF(((40 - J32) / (1 - K32)) &gt; 100, "Unattainable", IF(((40 - J32) / (1 - K32)) &lt; 0, "Already attained", ((40 - J32) / (1 - K32))))), "-")</f>
        <v>40</v>
      </c>
    </row>
    <row r="33" spans="1:16" ht="15.75" customHeight="1" thickTop="1">
      <c r="A33" s="172" t="s">
        <v>112</v>
      </c>
      <c r="B33" s="169" t="s">
        <v>113</v>
      </c>
      <c r="C33" s="152">
        <v>5</v>
      </c>
      <c r="D33" s="320">
        <v>9.0999999999999998E-2</v>
      </c>
      <c r="E33" s="153">
        <v>0.5</v>
      </c>
      <c r="F33" s="154" t="s">
        <v>11</v>
      </c>
      <c r="G33" s="155">
        <v>0.2</v>
      </c>
      <c r="H33" s="154" t="s">
        <v>114</v>
      </c>
      <c r="I33" s="156"/>
      <c r="J33" s="157">
        <f>IF(G33=1, I33, SUMPRODUCT(I33:I34, G33:G34))</f>
        <v>0</v>
      </c>
      <c r="K33" s="157">
        <f>SUMIF(I33:I34, "&lt;&gt;", G33:G34) / SUMIF(G33:G34, "&lt;&gt;")</f>
        <v>0</v>
      </c>
      <c r="L33" s="157" t="str">
        <f>IFERROR(J33/K33, "No grades yet")</f>
        <v>No grades yet</v>
      </c>
      <c r="M33" s="157">
        <f>IFERROR(IF(K33 = 1, "Completed module", IF(((70 - J33) / (1 - K33)) &gt; 100, "Unattainable", IF(((70 - J33) / (1 - K33)) &lt; 0, "Already attained", ((70 - J33) / (1 - K33))))), "-")</f>
        <v>70</v>
      </c>
      <c r="N33" s="157">
        <f>IFERROR(IF(K33 = 1, "Completed module", IF(((60 - J33) / (1 - K33)) &gt; 100, "Unattainable", IF(((60 - J33) / (1 - K33)) &lt; 0, "Already attained", ((60 - J33) / (1 - K33))))), "-")</f>
        <v>60</v>
      </c>
      <c r="O33" s="158">
        <f>IFERROR(IF(K33 = 1, "Completed module", IF(((50 - J33) / (1 - K33)) &gt; 100, "Unattainable", IF(((50 - J33) / (1 - K33)) &lt; 0, "Already attained", ((50 - J33) / (1 - K33))))), "-")</f>
        <v>50</v>
      </c>
      <c r="P33" s="166">
        <f>IFERROR(IF(K33 = 1, "Completed module", IF(((40 - J33) / (1 - K33)) &gt; 100, "Unattainable", IF(((40 - J33) / (1 - K33)) &lt; 0, "Already attained", ((40 - J33) / (1 - K33))))), "-")</f>
        <v>40</v>
      </c>
    </row>
    <row r="34" spans="1:16" ht="15.75" customHeight="1" thickBot="1">
      <c r="A34" s="175"/>
      <c r="B34" s="176"/>
      <c r="C34" s="177"/>
      <c r="D34" s="321"/>
      <c r="E34" s="178"/>
      <c r="F34" s="179" t="s">
        <v>13</v>
      </c>
      <c r="G34" s="180">
        <v>0.8</v>
      </c>
      <c r="H34" s="179" t="s">
        <v>115</v>
      </c>
      <c r="I34" s="181"/>
      <c r="J34" s="182"/>
      <c r="K34" s="182"/>
      <c r="L34" s="182"/>
      <c r="M34" s="182"/>
      <c r="N34" s="182"/>
      <c r="O34" s="183"/>
      <c r="P34" s="184"/>
    </row>
    <row r="35" spans="1:16" ht="15.75" customHeight="1" thickTop="1">
      <c r="A35" s="172" t="s">
        <v>116</v>
      </c>
      <c r="B35" s="169" t="s">
        <v>117</v>
      </c>
      <c r="C35" s="152">
        <v>5</v>
      </c>
      <c r="D35" s="320">
        <v>9.0999999999999998E-2</v>
      </c>
      <c r="E35" s="153">
        <v>0.5</v>
      </c>
      <c r="F35" s="154" t="s">
        <v>17</v>
      </c>
      <c r="G35" s="155">
        <v>0.7</v>
      </c>
      <c r="H35" s="154" t="s">
        <v>41</v>
      </c>
      <c r="I35" s="156"/>
      <c r="J35" s="157">
        <f>IF(G35=1, I35, SUMPRODUCT(I35:I36, G35:G36))</f>
        <v>0</v>
      </c>
      <c r="K35" s="157">
        <f>SUMIF(I35:I36, "&lt;&gt;", G35:G36) / SUMIF(G35:G36, "&lt;&gt;")</f>
        <v>0</v>
      </c>
      <c r="L35" s="157" t="str">
        <f>IFERROR(J35/K35, "No grades yet")</f>
        <v>No grades yet</v>
      </c>
      <c r="M35" s="157">
        <f>IFERROR(IF(K35 = 1, "Completed module", IF(((70 - J35) / (1 - K35)) &gt; 100, "Unattainable", IF(((70 - J35) / (1 - K35)) &lt; 0, "Already attained", ((70 - J35) / (1 - K35))))), "-")</f>
        <v>70</v>
      </c>
      <c r="N35" s="157">
        <f>IFERROR(IF(K35 = 1, "Completed module", IF(((60 - J35) / (1 - K35)) &gt; 100, "Unattainable", IF(((60 - J35) / (1 - K35)) &lt; 0, "Already attained", ((60 - J35) / (1 - K35))))), "-")</f>
        <v>60</v>
      </c>
      <c r="O35" s="158">
        <f>IFERROR(IF(K35 = 1, "Completed module", IF(((50 - J35) / (1 - K35)) &gt; 100, "Unattainable", IF(((50 - J35) / (1 - K35)) &lt; 0, "Already attained", ((50 - J35) / (1 - K35))))), "-")</f>
        <v>50</v>
      </c>
      <c r="P35" s="166">
        <f>IFERROR(IF(K35 = 1, "Completed module", IF(((40 - J35) / (1 - K35)) &gt; 100, "Unattainable", IF(((40 - J35) / (1 - K35)) &lt; 0, "Already attained", ((40 - J35) / (1 - K35))))), "-")</f>
        <v>40</v>
      </c>
    </row>
    <row r="36" spans="1:16" ht="15.75" customHeight="1" thickBot="1">
      <c r="A36" s="175"/>
      <c r="B36" s="176"/>
      <c r="C36" s="177"/>
      <c r="D36" s="321"/>
      <c r="E36" s="178"/>
      <c r="F36" s="179" t="s">
        <v>11</v>
      </c>
      <c r="G36" s="180">
        <v>0.3</v>
      </c>
      <c r="H36" s="179" t="s">
        <v>118</v>
      </c>
      <c r="I36" s="181"/>
      <c r="J36" s="182"/>
      <c r="K36" s="182"/>
      <c r="L36" s="182"/>
      <c r="M36" s="182"/>
      <c r="N36" s="182"/>
      <c r="O36" s="183"/>
      <c r="P36" s="184"/>
    </row>
    <row r="37" spans="1:16" ht="15.75" customHeight="1" thickTop="1">
      <c r="A37" s="172" t="s">
        <v>119</v>
      </c>
      <c r="B37" s="169" t="s">
        <v>120</v>
      </c>
      <c r="C37" s="152">
        <v>5</v>
      </c>
      <c r="D37" s="320">
        <v>9.0999999999999998E-2</v>
      </c>
      <c r="E37" s="153">
        <v>0.5</v>
      </c>
      <c r="F37" s="154" t="s">
        <v>9</v>
      </c>
      <c r="G37" s="155">
        <v>0.3</v>
      </c>
      <c r="H37" s="154" t="s">
        <v>121</v>
      </c>
      <c r="I37" s="156"/>
      <c r="J37" s="157">
        <f>IF(G37=1, I37, SUMPRODUCT(I37:I40, G37:G40))</f>
        <v>0</v>
      </c>
      <c r="K37" s="157">
        <f>SUMIF(I37:I40, "&lt;&gt;", G37:G40) / SUMIF(G37:G40, "&lt;&gt;")</f>
        <v>0</v>
      </c>
      <c r="L37" s="157" t="str">
        <f>IFERROR(J37/K37, "No grades yet")</f>
        <v>No grades yet</v>
      </c>
      <c r="M37" s="157">
        <f>IFERROR(IF(K37 = 1, "Completed module", IF(((70 - J37) / (1 - K37)) &gt; 100, "Unattainable", IF(((70 - J37) / (1 - K37)) &lt; 0, "Already attained", ((70 - J37) / (1 - K37))))), "-")</f>
        <v>70</v>
      </c>
      <c r="N37" s="157">
        <f>IFERROR(IF(K37 = 1, "Completed module", IF(((60 - J37) / (1 - K37)) &gt; 100, "Unattainable", IF(((60 - J37) / (1 - K37)) &lt; 0, "Already attained", ((60 - J37) / (1 - K37))))), "-")</f>
        <v>60</v>
      </c>
      <c r="O37" s="158">
        <f>IFERROR(IF(K37 = 1, "Completed module", IF(((50 - J37) / (1 - K37)) &gt; 100, "Unattainable", IF(((50 - J37) / (1 - K37)) &lt; 0, "Already attained", ((50 - J37) / (1 - K37))))), "-")</f>
        <v>50</v>
      </c>
      <c r="P37" s="166">
        <f>IFERROR(IF(K37 = 1, "Completed module", IF(((40 - J37) / (1 - K37)) &gt; 100, "Unattainable", IF(((40 - J37) / (1 - K37)) &lt; 0, "Already attained", ((40 - J37) / (1 - K37))))), "-")</f>
        <v>40</v>
      </c>
    </row>
    <row r="38" spans="1:16" ht="15.75" customHeight="1">
      <c r="A38" s="173"/>
      <c r="B38" s="170"/>
      <c r="C38" s="145"/>
      <c r="D38" s="318"/>
      <c r="E38" s="146"/>
      <c r="F38" s="149" t="s">
        <v>71</v>
      </c>
      <c r="G38" s="150">
        <v>0.2</v>
      </c>
      <c r="H38" s="149" t="s">
        <v>122</v>
      </c>
      <c r="I38" s="151"/>
      <c r="J38" s="147"/>
      <c r="K38" s="147"/>
      <c r="L38" s="147"/>
      <c r="M38" s="147"/>
      <c r="N38" s="147"/>
      <c r="O38" s="148"/>
      <c r="P38" s="167"/>
    </row>
    <row r="39" spans="1:16" ht="15.75" customHeight="1">
      <c r="A39" s="173"/>
      <c r="B39" s="170"/>
      <c r="C39" s="145"/>
      <c r="D39" s="318"/>
      <c r="E39" s="146"/>
      <c r="F39" s="149" t="s">
        <v>11</v>
      </c>
      <c r="G39" s="150">
        <v>0.3</v>
      </c>
      <c r="H39" s="149" t="s">
        <v>123</v>
      </c>
      <c r="I39" s="151"/>
      <c r="J39" s="147"/>
      <c r="K39" s="147"/>
      <c r="L39" s="147"/>
      <c r="M39" s="147"/>
      <c r="N39" s="147"/>
      <c r="O39" s="148"/>
      <c r="P39" s="167"/>
    </row>
    <row r="40" spans="1:16" ht="15.75" customHeight="1" thickBot="1">
      <c r="A40" s="175"/>
      <c r="B40" s="176"/>
      <c r="C40" s="177"/>
      <c r="D40" s="321"/>
      <c r="E40" s="178"/>
      <c r="F40" s="179" t="s">
        <v>9</v>
      </c>
      <c r="G40" s="180">
        <v>0.2</v>
      </c>
      <c r="H40" s="179" t="s">
        <v>124</v>
      </c>
      <c r="I40" s="181"/>
      <c r="J40" s="182"/>
      <c r="K40" s="182"/>
      <c r="L40" s="182"/>
      <c r="M40" s="182"/>
      <c r="N40" s="182"/>
      <c r="O40" s="183"/>
      <c r="P40" s="184"/>
    </row>
    <row r="41" spans="1:16" ht="34.799999999999997" customHeight="1" thickTop="1" thickBot="1">
      <c r="A41" s="337" t="s">
        <v>125</v>
      </c>
      <c r="B41" s="338" t="s">
        <v>126</v>
      </c>
      <c r="C41" s="339">
        <v>5</v>
      </c>
      <c r="D41" s="340">
        <v>9.0999999999999998E-2</v>
      </c>
      <c r="E41" s="341">
        <v>0.5</v>
      </c>
      <c r="F41" s="342" t="s">
        <v>17</v>
      </c>
      <c r="G41" s="343">
        <v>1</v>
      </c>
      <c r="H41" s="342" t="s">
        <v>41</v>
      </c>
      <c r="I41" s="344"/>
      <c r="J41" s="345">
        <f>IF(G41=1, I41, SUMPRODUCT(I41:I41, G41:G41))</f>
        <v>0</v>
      </c>
      <c r="K41" s="345">
        <f>SUMIF(I41:I41, "&lt;&gt;", G41:G41) / SUMIF(G41:G41, "&lt;&gt;")</f>
        <v>0</v>
      </c>
      <c r="L41" s="345" t="str">
        <f>IFERROR(J41/K41, "No grades yet")</f>
        <v>No grades yet</v>
      </c>
      <c r="M41" s="345">
        <f>IFERROR(IF(K41 = 1, "Completed module", IF(((70 - J41) / (1 - K41)) &gt; 100, "Unattainable", IF(((70 - J41) / (1 - K41)) &lt; 0, "Already attained", ((70 - J41) / (1 - K41))))), "-")</f>
        <v>70</v>
      </c>
      <c r="N41" s="345">
        <f>IFERROR(IF(K41 = 1, "Completed module", IF(((60 - J41) / (1 - K41)) &gt; 100, "Unattainable", IF(((60 - J41) / (1 - K41)) &lt; 0, "Already attained", ((60 - J41) / (1 - K41))))), "-")</f>
        <v>60</v>
      </c>
      <c r="O41" s="234">
        <f>IFERROR(IF(K41 = 1, "Completed module", IF(((50 - J41) / (1 - K41)) &gt; 100, "Unattainable", IF(((50 - J41) / (1 - K41)) &lt; 0, "Already attained", ((50 - J41) / (1 - K41))))), "-")</f>
        <v>50</v>
      </c>
      <c r="P41" s="235">
        <f>IFERROR(IF(K41 = 1, "Completed module", IF(((40 - J41) / (1 - K41)) &gt; 100, "Unattainable", IF(((40 - J41) / (1 - K41)) &lt; 0, "Already attained", ((40 - J41) / (1 - K41))))), "-")</f>
        <v>40</v>
      </c>
    </row>
    <row r="42" spans="1:16" ht="15.75" customHeight="1" thickTop="1">
      <c r="A42" s="172" t="s">
        <v>127</v>
      </c>
      <c r="B42" s="169" t="s">
        <v>128</v>
      </c>
      <c r="C42" s="152">
        <v>5</v>
      </c>
      <c r="D42" s="320">
        <v>9.0999999999999998E-2</v>
      </c>
      <c r="E42" s="153">
        <v>0.5</v>
      </c>
      <c r="F42" s="154" t="s">
        <v>17</v>
      </c>
      <c r="G42" s="155">
        <v>0.8</v>
      </c>
      <c r="H42" s="154" t="s">
        <v>41</v>
      </c>
      <c r="I42" s="156"/>
      <c r="J42" s="157">
        <f>IF(G42=1, I42, SUMPRODUCT(I42:I43, G42:G43))</f>
        <v>0</v>
      </c>
      <c r="K42" s="157">
        <f>SUMIF(I42:I43, "&lt;&gt;", G42:G43) / SUMIF(G42:G43, "&lt;&gt;")</f>
        <v>0</v>
      </c>
      <c r="L42" s="157" t="str">
        <f>IFERROR(J42/K42, "No grades yet")</f>
        <v>No grades yet</v>
      </c>
      <c r="M42" s="157">
        <f>IFERROR(IF(K42 = 1, "Completed module", IF(((70 - J42) / (1 - K42)) &gt; 100, "Unattainable", IF(((70 - J42) / (1 - K42)) &lt; 0, "Already attained", ((70 - J42) / (1 - K42))))), "-")</f>
        <v>70</v>
      </c>
      <c r="N42" s="157">
        <f>IFERROR(IF(K42 = 1, "Completed module", IF(((60 - J42) / (1 - K42)) &gt; 100, "Unattainable", IF(((60 - J42) / (1 - K42)) &lt; 0, "Already attained", ((60 - J42) / (1 - K42))))), "-")</f>
        <v>60</v>
      </c>
      <c r="O42" s="158">
        <f>IFERROR(IF(K42 = 1, "Completed module", IF(((50 - J42) / (1 - K42)) &gt; 100, "Unattainable", IF(((50 - J42) / (1 - K42)) &lt; 0, "Already attained", ((50 - J42) / (1 - K42))))), "-")</f>
        <v>50</v>
      </c>
      <c r="P42" s="166">
        <f>IFERROR(IF(K42 = 1, "Completed module", IF(((40 - J42) / (1 - K42)) &gt; 100, "Unattainable", IF(((40 - J42) / (1 - K42)) &lt; 0, "Already attained", ((40 - J42) / (1 - K42))))), "-")</f>
        <v>40</v>
      </c>
    </row>
    <row r="43" spans="1:16" ht="15.75" customHeight="1" thickBot="1">
      <c r="A43" s="175"/>
      <c r="B43" s="176"/>
      <c r="C43" s="177"/>
      <c r="D43" s="321"/>
      <c r="E43" s="178"/>
      <c r="F43" s="179" t="s">
        <v>9</v>
      </c>
      <c r="G43" s="180">
        <v>0.2</v>
      </c>
      <c r="H43" s="179" t="s">
        <v>129</v>
      </c>
      <c r="I43" s="181"/>
      <c r="J43" s="182"/>
      <c r="K43" s="182"/>
      <c r="L43" s="182"/>
      <c r="M43" s="182"/>
      <c r="N43" s="182"/>
      <c r="O43" s="183"/>
      <c r="P43" s="184"/>
    </row>
    <row r="44" spans="1:16" ht="28.8" customHeight="1" thickTop="1" thickBot="1">
      <c r="A44" s="337" t="s">
        <v>130</v>
      </c>
      <c r="B44" s="338" t="s">
        <v>131</v>
      </c>
      <c r="C44" s="339">
        <v>5</v>
      </c>
      <c r="D44" s="340">
        <v>9.0999999999999998E-2</v>
      </c>
      <c r="E44" s="341">
        <v>0.4</v>
      </c>
      <c r="F44" s="343" t="s">
        <v>132</v>
      </c>
      <c r="G44" s="342" t="s">
        <v>90</v>
      </c>
      <c r="H44" s="343" t="s">
        <v>90</v>
      </c>
      <c r="I44" s="233"/>
      <c r="J44" s="345" t="e">
        <f>IF(G44=1, I44, SUMPRODUCT(I44:I44, G44:G44))</f>
        <v>#VALUE!</v>
      </c>
      <c r="K44" s="345" t="e">
        <f>SUMIF(I44:I44, "&lt;&gt;", G44:G44) / SUMIF(G44:G44, "&lt;&gt;")</f>
        <v>#DIV/0!</v>
      </c>
      <c r="L44" s="345" t="str">
        <f>IFERROR(J44/K44, "No grades yet")</f>
        <v>No grades yet</v>
      </c>
      <c r="M44" s="345" t="str">
        <f>IFERROR(IF(K44 = 1, "Completed module", IF(((70 - J44) / (1 - K44)) &gt; 100, "Unattainable", IF(((70 - J44) / (1 - K44)) &lt; 0, "Already attained", ((70 - J44) / (1 - K44))))), "-")</f>
        <v>-</v>
      </c>
      <c r="N44" s="345" t="str">
        <f>IFERROR(IF(K44 = 1, "Completed module", IF(((60 - J44) / (1 - K44)) &gt; 100, "Unattainable", IF(((60 - J44) / (1 - K44)) &lt; 0, "Already attained", ((60 - J44) / (1 - K44))))), "-")</f>
        <v>-</v>
      </c>
      <c r="O44" s="234" t="str">
        <f>IFERROR(IF(K44 = 1, "Completed module", IF(((50 - J44) / (1 - K44)) &gt; 100, "Unattainable", IF(((50 - J44) / (1 - K44)) &lt; 0, "Already attained", ((50 - J44) / (1 - K44))))), "-")</f>
        <v>-</v>
      </c>
      <c r="P44" s="235" t="str">
        <f>IFERROR(IF(K44 = 1, "Completed module", IF(((40 - J44) / (1 - K44)) &gt; 100, "Unattainable", IF(((40 - J44) / (1 - K44)) &lt; 0, "Already attained", ((40 - J44) / (1 - K44))))), "-")</f>
        <v>-</v>
      </c>
    </row>
    <row r="45" spans="1:16" ht="15.75" customHeight="1" thickTop="1" thickBot="1">
      <c r="A45" s="337" t="s">
        <v>133</v>
      </c>
      <c r="B45" s="338" t="s">
        <v>134</v>
      </c>
      <c r="C45" s="339">
        <v>5</v>
      </c>
      <c r="D45" s="340">
        <v>9.0999999999999998E-2</v>
      </c>
      <c r="E45" s="341">
        <v>0.4</v>
      </c>
      <c r="F45" s="342" t="s">
        <v>132</v>
      </c>
      <c r="G45" s="343" t="s">
        <v>90</v>
      </c>
      <c r="H45" s="342" t="s">
        <v>90</v>
      </c>
      <c r="I45" s="344"/>
      <c r="J45" s="345" t="e">
        <f>IF(G45=1, I45, SUMPRODUCT(I45:I45, G45:G45))</f>
        <v>#VALUE!</v>
      </c>
      <c r="K45" s="345" t="e">
        <f>SUMIF(I45:I45, "&lt;&gt;", G45:G45) / SUMIF(G45:G45, "&lt;&gt;")</f>
        <v>#DIV/0!</v>
      </c>
      <c r="L45" s="345" t="str">
        <f>IFERROR(J45/K45, "No grades yet")</f>
        <v>No grades yet</v>
      </c>
      <c r="M45" s="345" t="str">
        <f>IFERROR(IF(K45 = 1, "Completed module", IF(((70 - J45) / (1 - K45)) &gt; 100, "Unattainable", IF(((70 - J45) / (1 - K45)) &lt; 0, "Already attained", ((70 - J45) / (1 - K45))))), "-")</f>
        <v>-</v>
      </c>
      <c r="N45" s="345" t="str">
        <f>IFERROR(IF(K45 = 1, "Completed module", IF(((60 - J45) / (1 - K45)) &gt; 100, "Unattainable", IF(((60 - J45) / (1 - K45)) &lt; 0, "Already attained", ((60 - J45) / (1 - K45))))), "-")</f>
        <v>-</v>
      </c>
      <c r="O45" s="234" t="str">
        <f>IFERROR(IF(K45 = 1, "Completed module", IF(((50 - J45) / (1 - K45)) &gt; 100, "Unattainable", IF(((50 - J45) / (1 - K45)) &lt; 0, "Already attained", ((50 - J45) / (1 - K45))))), "-")</f>
        <v>-</v>
      </c>
      <c r="P45" s="235" t="str">
        <f>IFERROR(IF(K45 = 1, "Completed module", IF(((40 - J45) / (1 - K45)) &gt; 100, "Unattainable", IF(((40 - J45) / (1 - K45)) &lt; 0, "Already attained", ((40 - J45) / (1 - K45))))), "-")</f>
        <v>-</v>
      </c>
    </row>
    <row r="46" spans="1:16" ht="15.75" customHeight="1" thickTop="1" thickBot="1">
      <c r="A46" s="336" t="s">
        <v>135</v>
      </c>
      <c r="B46" s="335" t="s">
        <v>136</v>
      </c>
      <c r="C46" s="329">
        <v>5</v>
      </c>
      <c r="D46" s="330">
        <v>9.0999999999999998E-2</v>
      </c>
      <c r="E46" s="331">
        <v>0.4</v>
      </c>
      <c r="F46" s="328" t="s">
        <v>132</v>
      </c>
      <c r="G46" s="332" t="s">
        <v>90</v>
      </c>
      <c r="H46" s="328" t="s">
        <v>90</v>
      </c>
      <c r="I46" s="333"/>
      <c r="J46" s="334" t="e">
        <f>IF(G46=1, I46, SUMPRODUCT(I46:I46, G46:G46))</f>
        <v>#VALUE!</v>
      </c>
      <c r="K46" s="334" t="e">
        <f>SUMIF(I46:I46, "&lt;&gt;", G46:G46) / SUMIF(G46:G46, "&lt;&gt;")</f>
        <v>#DIV/0!</v>
      </c>
      <c r="L46" s="334" t="str">
        <f>IFERROR(J46/K46, "No grades yet")</f>
        <v>No grades yet</v>
      </c>
      <c r="M46" s="334" t="str">
        <f>IFERROR(IF(K46 = 1, "Completed module", IF(((70 - J46) / (1 - K46)) &gt; 100, "Unattainable", IF(((70 - J46) / (1 - K46)) &lt; 0, "Already attained", ((70 - J46) / (1 - K46))))), "-")</f>
        <v>-</v>
      </c>
      <c r="N46" s="334" t="str">
        <f>IFERROR(IF(K46 = 1, "Completed module", IF(((60 - J46) / (1 - K46)) &gt; 100, "Unattainable", IF(((60 - J46) / (1 - K46)) &lt; 0, "Already attained", ((60 - J46) / (1 - K46))))), "-")</f>
        <v>-</v>
      </c>
      <c r="O46" s="223" t="str">
        <f>IFERROR(IF(K46 = 1, "Completed module", IF(((50 - J46) / (1 - K46)) &gt; 100, "Unattainable", IF(((50 - J46) / (1 - K46)) &lt; 0, "Already attained", ((50 - J46) / (1 - K46))))), "-")</f>
        <v>-</v>
      </c>
      <c r="P46" s="224" t="str">
        <f>IFERROR(IF(K46 = 1, "Completed module", IF(((40 - J46) / (1 - K46)) &gt; 100, "Unattainable", IF(((40 - J46) / (1 - K46)) &lt; 0, "Already attained", ((40 - J46) / (1 - K46))))), "-")</f>
        <v>-</v>
      </c>
    </row>
    <row r="47" spans="1:16" ht="15.75" customHeight="1" thickTop="1"/>
  </sheetData>
  <mergeCells count="159">
    <mergeCell ref="O37:O40"/>
    <mergeCell ref="P37:P40"/>
    <mergeCell ref="O42:O43"/>
    <mergeCell ref="P42:P43"/>
    <mergeCell ref="O25:O26"/>
    <mergeCell ref="P25:P26"/>
    <mergeCell ref="O27:O29"/>
    <mergeCell ref="P27:P29"/>
    <mergeCell ref="O30:O31"/>
    <mergeCell ref="P30:P31"/>
    <mergeCell ref="O33:O34"/>
    <mergeCell ref="P33:P34"/>
    <mergeCell ref="O35:O36"/>
    <mergeCell ref="P35:P36"/>
    <mergeCell ref="O10:O11"/>
    <mergeCell ref="P10:P11"/>
    <mergeCell ref="O12:O14"/>
    <mergeCell ref="P12:P14"/>
    <mergeCell ref="O15:O16"/>
    <mergeCell ref="P15:P16"/>
    <mergeCell ref="O21:O24"/>
    <mergeCell ref="P21:P24"/>
    <mergeCell ref="O3:O7"/>
    <mergeCell ref="P3:P7"/>
    <mergeCell ref="O8:O9"/>
    <mergeCell ref="P8:P9"/>
    <mergeCell ref="A35:A36"/>
    <mergeCell ref="B35:B36"/>
    <mergeCell ref="C35:C36"/>
    <mergeCell ref="A33:A34"/>
    <mergeCell ref="B33:B34"/>
    <mergeCell ref="C33:C34"/>
    <mergeCell ref="D33:D34"/>
    <mergeCell ref="E33:E34"/>
    <mergeCell ref="J33:J34"/>
    <mergeCell ref="A37:A40"/>
    <mergeCell ref="B37:B40"/>
    <mergeCell ref="C37:C40"/>
    <mergeCell ref="D37:D40"/>
    <mergeCell ref="E37:E40"/>
    <mergeCell ref="J37:J40"/>
    <mergeCell ref="K37:K40"/>
    <mergeCell ref="L37:L40"/>
    <mergeCell ref="M37:M40"/>
    <mergeCell ref="A42:A43"/>
    <mergeCell ref="B42:B43"/>
    <mergeCell ref="C42:C43"/>
    <mergeCell ref="D42:D43"/>
    <mergeCell ref="E42:E43"/>
    <mergeCell ref="F20:H20"/>
    <mergeCell ref="M3:M7"/>
    <mergeCell ref="N3:N7"/>
    <mergeCell ref="J8:J9"/>
    <mergeCell ref="K8:K9"/>
    <mergeCell ref="L8:L9"/>
    <mergeCell ref="M8:M9"/>
    <mergeCell ref="N8:N9"/>
    <mergeCell ref="J3:J7"/>
    <mergeCell ref="K3:K7"/>
    <mergeCell ref="L3:L7"/>
    <mergeCell ref="M15:M16"/>
    <mergeCell ref="N15:N16"/>
    <mergeCell ref="A3:A7"/>
    <mergeCell ref="B3:B7"/>
    <mergeCell ref="C3:C7"/>
    <mergeCell ref="D3:D7"/>
    <mergeCell ref="E3:E7"/>
    <mergeCell ref="A19:B19"/>
    <mergeCell ref="F2:H2"/>
    <mergeCell ref="A12:A14"/>
    <mergeCell ref="M10:M11"/>
    <mergeCell ref="N10:N11"/>
    <mergeCell ref="E10:E11"/>
    <mergeCell ref="B10:B11"/>
    <mergeCell ref="C10:C11"/>
    <mergeCell ref="J10:J11"/>
    <mergeCell ref="K10:K11"/>
    <mergeCell ref="L10:L11"/>
    <mergeCell ref="B12:B14"/>
    <mergeCell ref="C12:C14"/>
    <mergeCell ref="J12:J14"/>
    <mergeCell ref="K12:K14"/>
    <mergeCell ref="L12:L14"/>
    <mergeCell ref="M12:M14"/>
    <mergeCell ref="N12:N14"/>
    <mergeCell ref="D12:D14"/>
    <mergeCell ref="C8:C9"/>
    <mergeCell ref="B8:B9"/>
    <mergeCell ref="E8:E9"/>
    <mergeCell ref="D8:D9"/>
    <mergeCell ref="A8:A9"/>
    <mergeCell ref="D10:D11"/>
    <mergeCell ref="A10:A11"/>
    <mergeCell ref="E12:E14"/>
    <mergeCell ref="J15:J16"/>
    <mergeCell ref="K15:K16"/>
    <mergeCell ref="L15:L16"/>
    <mergeCell ref="A15:A16"/>
    <mergeCell ref="B15:B16"/>
    <mergeCell ref="C15:C16"/>
    <mergeCell ref="D15:D16"/>
    <mergeCell ref="E15:E16"/>
    <mergeCell ref="N21:N24"/>
    <mergeCell ref="A30:A31"/>
    <mergeCell ref="B30:B31"/>
    <mergeCell ref="C30:C31"/>
    <mergeCell ref="A25:A26"/>
    <mergeCell ref="D21:D24"/>
    <mergeCell ref="E21:E24"/>
    <mergeCell ref="B25:B26"/>
    <mergeCell ref="C25:C26"/>
    <mergeCell ref="D25:D26"/>
    <mergeCell ref="A21:A24"/>
    <mergeCell ref="B21:B24"/>
    <mergeCell ref="C21:C24"/>
    <mergeCell ref="J21:J24"/>
    <mergeCell ref="K21:K24"/>
    <mergeCell ref="L21:L24"/>
    <mergeCell ref="M21:M24"/>
    <mergeCell ref="E25:E26"/>
    <mergeCell ref="J25:J26"/>
    <mergeCell ref="K25:K26"/>
    <mergeCell ref="L25:L26"/>
    <mergeCell ref="M25:M26"/>
    <mergeCell ref="N25:N26"/>
    <mergeCell ref="A27:A29"/>
    <mergeCell ref="B27:B29"/>
    <mergeCell ref="C27:C29"/>
    <mergeCell ref="D27:D29"/>
    <mergeCell ref="E27:E29"/>
    <mergeCell ref="J27:J29"/>
    <mergeCell ref="K27:K29"/>
    <mergeCell ref="L27:L29"/>
    <mergeCell ref="M27:M29"/>
    <mergeCell ref="N27:N29"/>
    <mergeCell ref="M30:M31"/>
    <mergeCell ref="N30:N31"/>
    <mergeCell ref="D30:D31"/>
    <mergeCell ref="E30:E31"/>
    <mergeCell ref="J30:J31"/>
    <mergeCell ref="K30:K31"/>
    <mergeCell ref="L30:L31"/>
    <mergeCell ref="J42:J43"/>
    <mergeCell ref="K42:K43"/>
    <mergeCell ref="L42:L43"/>
    <mergeCell ref="M42:M43"/>
    <mergeCell ref="N42:N43"/>
    <mergeCell ref="D35:D36"/>
    <mergeCell ref="E35:E36"/>
    <mergeCell ref="N35:N36"/>
    <mergeCell ref="N37:N40"/>
    <mergeCell ref="N33:N34"/>
    <mergeCell ref="J35:J36"/>
    <mergeCell ref="K35:K36"/>
    <mergeCell ref="L35:L36"/>
    <mergeCell ref="M35:M36"/>
    <mergeCell ref="K33:K34"/>
    <mergeCell ref="L33:L34"/>
    <mergeCell ref="M33:M34"/>
  </mergeCells>
  <conditionalFormatting sqref="M44">
    <cfRule type="cellIs" dxfId="4308" priority="45" operator="between">
      <formula>70</formula>
      <formula>60</formula>
    </cfRule>
    <cfRule type="cellIs" dxfId="4307" priority="52" operator="between">
      <formula>60</formula>
      <formula>50</formula>
    </cfRule>
    <cfRule type="cellIs" dxfId="4306" priority="53" operator="between">
      <formula>40</formula>
      <formula>50</formula>
    </cfRule>
    <cfRule type="cellIs" dxfId="4305" priority="102" operator="lessThan">
      <formula>40</formula>
    </cfRule>
  </conditionalFormatting>
  <conditionalFormatting sqref="I3:I7">
    <cfRule type="expression" dxfId="4045" priority="719" stopIfTrue="1">
      <formula>ISBLANK(I3)</formula>
    </cfRule>
  </conditionalFormatting>
  <conditionalFormatting sqref="I3:I7">
    <cfRule type="cellIs" dxfId="4044" priority="720" stopIfTrue="1" operator="equal">
      <formula>"No grades yet"</formula>
    </cfRule>
  </conditionalFormatting>
  <conditionalFormatting sqref="I3:I7">
    <cfRule type="cellIs" dxfId="4043" priority="721" stopIfTrue="1" operator="greaterThanOrEqual">
      <formula>70</formula>
    </cfRule>
  </conditionalFormatting>
  <conditionalFormatting sqref="I3:I7">
    <cfRule type="cellIs" dxfId="4042" priority="722" stopIfTrue="1" operator="between">
      <formula>60</formula>
      <formula>69.999</formula>
    </cfRule>
  </conditionalFormatting>
  <conditionalFormatting sqref="I3:I7">
    <cfRule type="cellIs" dxfId="4041" priority="723" stopIfTrue="1" operator="between">
      <formula>50</formula>
      <formula>59.999</formula>
    </cfRule>
  </conditionalFormatting>
  <conditionalFormatting sqref="I3:I7">
    <cfRule type="cellIs" dxfId="4040" priority="724" stopIfTrue="1" operator="between">
      <formula>40</formula>
      <formula>49.999</formula>
    </cfRule>
  </conditionalFormatting>
  <conditionalFormatting sqref="I3:I7">
    <cfRule type="cellIs" dxfId="4039" priority="725" stopIfTrue="1" operator="lessThan">
      <formula>40</formula>
    </cfRule>
  </conditionalFormatting>
  <conditionalFormatting sqref="L3:L7">
    <cfRule type="expression" dxfId="4038" priority="726" stopIfTrue="1">
      <formula>ISBLANK(L3)</formula>
    </cfRule>
  </conditionalFormatting>
  <conditionalFormatting sqref="L3:L7">
    <cfRule type="cellIs" dxfId="4037" priority="727" stopIfTrue="1" operator="equal">
      <formula>"No grades yet"</formula>
    </cfRule>
  </conditionalFormatting>
  <conditionalFormatting sqref="L3:L7">
    <cfRule type="cellIs" dxfId="4036" priority="728" stopIfTrue="1" operator="greaterThanOrEqual">
      <formula>70</formula>
    </cfRule>
  </conditionalFormatting>
  <conditionalFormatting sqref="L3:L7">
    <cfRule type="cellIs" dxfId="4035" priority="729" stopIfTrue="1" operator="between">
      <formula>60</formula>
      <formula>69.999</formula>
    </cfRule>
  </conditionalFormatting>
  <conditionalFormatting sqref="L3:L7">
    <cfRule type="cellIs" dxfId="4034" priority="730" stopIfTrue="1" operator="between">
      <formula>50</formula>
      <formula>59.999</formula>
    </cfRule>
  </conditionalFormatting>
  <conditionalFormatting sqref="L3:L7">
    <cfRule type="cellIs" dxfId="4033" priority="731" stopIfTrue="1" operator="between">
      <formula>40</formula>
      <formula>49.999</formula>
    </cfRule>
  </conditionalFormatting>
  <conditionalFormatting sqref="L3:L7">
    <cfRule type="cellIs" dxfId="4032" priority="732" stopIfTrue="1" operator="lessThan">
      <formula>40</formula>
    </cfRule>
  </conditionalFormatting>
  <conditionalFormatting sqref="I8:I9">
    <cfRule type="expression" dxfId="4031" priority="733" stopIfTrue="1">
      <formula>ISBLANK(I8)</formula>
    </cfRule>
  </conditionalFormatting>
  <conditionalFormatting sqref="I8:I9">
    <cfRule type="cellIs" dxfId="4030" priority="734" stopIfTrue="1" operator="equal">
      <formula>"No grades yet"</formula>
    </cfRule>
  </conditionalFormatting>
  <conditionalFormatting sqref="I8:I9">
    <cfRule type="cellIs" dxfId="4029" priority="735" stopIfTrue="1" operator="greaterThanOrEqual">
      <formula>70</formula>
    </cfRule>
  </conditionalFormatting>
  <conditionalFormatting sqref="I8:I9">
    <cfRule type="cellIs" dxfId="4028" priority="736" stopIfTrue="1" operator="between">
      <formula>60</formula>
      <formula>69.999</formula>
    </cfRule>
  </conditionalFormatting>
  <conditionalFormatting sqref="I8:I9">
    <cfRule type="cellIs" dxfId="4027" priority="737" stopIfTrue="1" operator="between">
      <formula>50</formula>
      <formula>59.999</formula>
    </cfRule>
  </conditionalFormatting>
  <conditionalFormatting sqref="I8:I9">
    <cfRule type="cellIs" dxfId="4026" priority="738" stopIfTrue="1" operator="between">
      <formula>40</formula>
      <formula>49.999</formula>
    </cfRule>
  </conditionalFormatting>
  <conditionalFormatting sqref="I8:I9">
    <cfRule type="cellIs" dxfId="4025" priority="739" stopIfTrue="1" operator="lessThan">
      <formula>40</formula>
    </cfRule>
  </conditionalFormatting>
  <conditionalFormatting sqref="L8:L9">
    <cfRule type="expression" dxfId="4024" priority="740" stopIfTrue="1">
      <formula>ISBLANK(L8)</formula>
    </cfRule>
  </conditionalFormatting>
  <conditionalFormatting sqref="L8:L9">
    <cfRule type="cellIs" dxfId="4023" priority="741" stopIfTrue="1" operator="equal">
      <formula>"No grades yet"</formula>
    </cfRule>
  </conditionalFormatting>
  <conditionalFormatting sqref="L8:L9">
    <cfRule type="cellIs" dxfId="4022" priority="742" stopIfTrue="1" operator="greaterThanOrEqual">
      <formula>70</formula>
    </cfRule>
  </conditionalFormatting>
  <conditionalFormatting sqref="L8:L9">
    <cfRule type="cellIs" dxfId="4021" priority="743" stopIfTrue="1" operator="between">
      <formula>60</formula>
      <formula>69.999</formula>
    </cfRule>
  </conditionalFormatting>
  <conditionalFormatting sqref="L8:L9">
    <cfRule type="cellIs" dxfId="4020" priority="744" stopIfTrue="1" operator="between">
      <formula>50</formula>
      <formula>59.999</formula>
    </cfRule>
  </conditionalFormatting>
  <conditionalFormatting sqref="L8:L9">
    <cfRule type="cellIs" dxfId="4019" priority="745" stopIfTrue="1" operator="between">
      <formula>40</formula>
      <formula>49.999</formula>
    </cfRule>
  </conditionalFormatting>
  <conditionalFormatting sqref="L8:L9">
    <cfRule type="cellIs" dxfId="4018" priority="746" stopIfTrue="1" operator="lessThan">
      <formula>40</formula>
    </cfRule>
  </conditionalFormatting>
  <conditionalFormatting sqref="I10:I11">
    <cfRule type="expression" dxfId="4017" priority="747" stopIfTrue="1">
      <formula>ISBLANK(I10)</formula>
    </cfRule>
  </conditionalFormatting>
  <conditionalFormatting sqref="I10:I11">
    <cfRule type="cellIs" dxfId="4016" priority="748" stopIfTrue="1" operator="equal">
      <formula>"No grades yet"</formula>
    </cfRule>
  </conditionalFormatting>
  <conditionalFormatting sqref="I10:I11">
    <cfRule type="cellIs" dxfId="4015" priority="749" stopIfTrue="1" operator="greaterThanOrEqual">
      <formula>70</formula>
    </cfRule>
  </conditionalFormatting>
  <conditionalFormatting sqref="I10:I11">
    <cfRule type="cellIs" dxfId="4014" priority="750" stopIfTrue="1" operator="between">
      <formula>60</formula>
      <formula>69.999</formula>
    </cfRule>
  </conditionalFormatting>
  <conditionalFormatting sqref="I10:I11">
    <cfRule type="cellIs" dxfId="4013" priority="751" stopIfTrue="1" operator="between">
      <formula>50</formula>
      <formula>59.999</formula>
    </cfRule>
  </conditionalFormatting>
  <conditionalFormatting sqref="I10:I11">
    <cfRule type="cellIs" dxfId="4012" priority="752" stopIfTrue="1" operator="between">
      <formula>40</formula>
      <formula>49.999</formula>
    </cfRule>
  </conditionalFormatting>
  <conditionalFormatting sqref="I10:I11">
    <cfRule type="cellIs" dxfId="4011" priority="753" stopIfTrue="1" operator="lessThan">
      <formula>40</formula>
    </cfRule>
  </conditionalFormatting>
  <conditionalFormatting sqref="L10:L11">
    <cfRule type="expression" dxfId="4010" priority="754" stopIfTrue="1">
      <formula>ISBLANK(L10)</formula>
    </cfRule>
  </conditionalFormatting>
  <conditionalFormatting sqref="L10:L11">
    <cfRule type="cellIs" dxfId="4009" priority="755" stopIfTrue="1" operator="equal">
      <formula>"No grades yet"</formula>
    </cfRule>
  </conditionalFormatting>
  <conditionalFormatting sqref="L10:L11">
    <cfRule type="cellIs" dxfId="4008" priority="756" stopIfTrue="1" operator="greaterThanOrEqual">
      <formula>70</formula>
    </cfRule>
  </conditionalFormatting>
  <conditionalFormatting sqref="L10:L11">
    <cfRule type="cellIs" dxfId="4007" priority="757" stopIfTrue="1" operator="between">
      <formula>60</formula>
      <formula>69.999</formula>
    </cfRule>
  </conditionalFormatting>
  <conditionalFormatting sqref="L10:L11">
    <cfRule type="cellIs" dxfId="4006" priority="758" stopIfTrue="1" operator="between">
      <formula>50</formula>
      <formula>59.999</formula>
    </cfRule>
  </conditionalFormatting>
  <conditionalFormatting sqref="L10:L11">
    <cfRule type="cellIs" dxfId="4005" priority="759" stopIfTrue="1" operator="between">
      <formula>40</formula>
      <formula>49.999</formula>
    </cfRule>
  </conditionalFormatting>
  <conditionalFormatting sqref="L10:L11">
    <cfRule type="cellIs" dxfId="4004" priority="760" stopIfTrue="1" operator="lessThan">
      <formula>40</formula>
    </cfRule>
  </conditionalFormatting>
  <conditionalFormatting sqref="I12:I14">
    <cfRule type="expression" dxfId="4003" priority="761" stopIfTrue="1">
      <formula>ISBLANK(I12)</formula>
    </cfRule>
  </conditionalFormatting>
  <conditionalFormatting sqref="I12:I14">
    <cfRule type="cellIs" dxfId="4002" priority="762" stopIfTrue="1" operator="equal">
      <formula>"No grades yet"</formula>
    </cfRule>
  </conditionalFormatting>
  <conditionalFormatting sqref="I12:I14">
    <cfRule type="cellIs" dxfId="4001" priority="763" stopIfTrue="1" operator="greaterThanOrEqual">
      <formula>70</formula>
    </cfRule>
  </conditionalFormatting>
  <conditionalFormatting sqref="I12:I14">
    <cfRule type="cellIs" dxfId="4000" priority="764" stopIfTrue="1" operator="between">
      <formula>60</formula>
      <formula>69.999</formula>
    </cfRule>
  </conditionalFormatting>
  <conditionalFormatting sqref="I12:I14">
    <cfRule type="cellIs" dxfId="3999" priority="765" stopIfTrue="1" operator="between">
      <formula>50</formula>
      <formula>59.999</formula>
    </cfRule>
  </conditionalFormatting>
  <conditionalFormatting sqref="I12:I14">
    <cfRule type="cellIs" dxfId="3998" priority="766" stopIfTrue="1" operator="between">
      <formula>40</formula>
      <formula>49.999</formula>
    </cfRule>
  </conditionalFormatting>
  <conditionalFormatting sqref="I12:I14">
    <cfRule type="cellIs" dxfId="3997" priority="767" stopIfTrue="1" operator="lessThan">
      <formula>40</formula>
    </cfRule>
  </conditionalFormatting>
  <conditionalFormatting sqref="L12:L14">
    <cfRule type="expression" dxfId="3996" priority="768" stopIfTrue="1">
      <formula>ISBLANK(L12)</formula>
    </cfRule>
  </conditionalFormatting>
  <conditionalFormatting sqref="L12:L14">
    <cfRule type="cellIs" dxfId="3995" priority="769" stopIfTrue="1" operator="equal">
      <formula>"No grades yet"</formula>
    </cfRule>
  </conditionalFormatting>
  <conditionalFormatting sqref="L12:L14">
    <cfRule type="cellIs" dxfId="3994" priority="770" stopIfTrue="1" operator="greaterThanOrEqual">
      <formula>70</formula>
    </cfRule>
  </conditionalFormatting>
  <conditionalFormatting sqref="L12:L14">
    <cfRule type="cellIs" dxfId="3993" priority="771" stopIfTrue="1" operator="between">
      <formula>60</formula>
      <formula>69.999</formula>
    </cfRule>
  </conditionalFormatting>
  <conditionalFormatting sqref="L12:L14">
    <cfRule type="cellIs" dxfId="3992" priority="772" stopIfTrue="1" operator="between">
      <formula>50</formula>
      <formula>59.999</formula>
    </cfRule>
  </conditionalFormatting>
  <conditionalFormatting sqref="L12:L14">
    <cfRule type="cellIs" dxfId="3991" priority="773" stopIfTrue="1" operator="between">
      <formula>40</formula>
      <formula>49.999</formula>
    </cfRule>
  </conditionalFormatting>
  <conditionalFormatting sqref="L12:L14">
    <cfRule type="cellIs" dxfId="3990" priority="774" stopIfTrue="1" operator="lessThan">
      <formula>40</formula>
    </cfRule>
  </conditionalFormatting>
  <conditionalFormatting sqref="I15:I16">
    <cfRule type="expression" dxfId="3989" priority="775" stopIfTrue="1">
      <formula>ISBLANK(I15)</formula>
    </cfRule>
  </conditionalFormatting>
  <conditionalFormatting sqref="I15:I16">
    <cfRule type="cellIs" dxfId="3988" priority="776" stopIfTrue="1" operator="equal">
      <formula>"No grades yet"</formula>
    </cfRule>
  </conditionalFormatting>
  <conditionalFormatting sqref="I15:I16">
    <cfRule type="cellIs" dxfId="3987" priority="777" stopIfTrue="1" operator="greaterThanOrEqual">
      <formula>70</formula>
    </cfRule>
  </conditionalFormatting>
  <conditionalFormatting sqref="I15:I16">
    <cfRule type="cellIs" dxfId="3986" priority="778" stopIfTrue="1" operator="between">
      <formula>60</formula>
      <formula>69.999</formula>
    </cfRule>
  </conditionalFormatting>
  <conditionalFormatting sqref="I15:I16">
    <cfRule type="cellIs" dxfId="3985" priority="779" stopIfTrue="1" operator="between">
      <formula>50</formula>
      <formula>59.999</formula>
    </cfRule>
  </conditionalFormatting>
  <conditionalFormatting sqref="I15:I16">
    <cfRule type="cellIs" dxfId="3984" priority="780" stopIfTrue="1" operator="between">
      <formula>40</formula>
      <formula>49.999</formula>
    </cfRule>
  </conditionalFormatting>
  <conditionalFormatting sqref="I15:I16">
    <cfRule type="cellIs" dxfId="3983" priority="781" stopIfTrue="1" operator="lessThan">
      <formula>40</formula>
    </cfRule>
  </conditionalFormatting>
  <conditionalFormatting sqref="L15:L16">
    <cfRule type="expression" dxfId="3982" priority="782" stopIfTrue="1">
      <formula>ISBLANK(L15)</formula>
    </cfRule>
  </conditionalFormatting>
  <conditionalFormatting sqref="L15:L16">
    <cfRule type="cellIs" dxfId="3981" priority="783" stopIfTrue="1" operator="equal">
      <formula>"No grades yet"</formula>
    </cfRule>
  </conditionalFormatting>
  <conditionalFormatting sqref="L15:L16">
    <cfRule type="cellIs" dxfId="3980" priority="784" stopIfTrue="1" operator="greaterThanOrEqual">
      <formula>70</formula>
    </cfRule>
  </conditionalFormatting>
  <conditionalFormatting sqref="L15:L16">
    <cfRule type="cellIs" dxfId="3979" priority="785" stopIfTrue="1" operator="between">
      <formula>60</formula>
      <formula>69.999</formula>
    </cfRule>
  </conditionalFormatting>
  <conditionalFormatting sqref="L15:L16">
    <cfRule type="cellIs" dxfId="3978" priority="786" stopIfTrue="1" operator="between">
      <formula>50</formula>
      <formula>59.999</formula>
    </cfRule>
  </conditionalFormatting>
  <conditionalFormatting sqref="L15:L16">
    <cfRule type="cellIs" dxfId="3977" priority="787" stopIfTrue="1" operator="between">
      <formula>40</formula>
      <formula>49.999</formula>
    </cfRule>
  </conditionalFormatting>
  <conditionalFormatting sqref="L15:L16">
    <cfRule type="cellIs" dxfId="3976" priority="788" stopIfTrue="1" operator="lessThan">
      <formula>40</formula>
    </cfRule>
  </conditionalFormatting>
  <conditionalFormatting sqref="I17">
    <cfRule type="expression" dxfId="3975" priority="789" stopIfTrue="1">
      <formula>ISBLANK(I17)</formula>
    </cfRule>
  </conditionalFormatting>
  <conditionalFormatting sqref="I17">
    <cfRule type="cellIs" dxfId="3974" priority="790" stopIfTrue="1" operator="equal">
      <formula>"No grades yet"</formula>
    </cfRule>
  </conditionalFormatting>
  <conditionalFormatting sqref="I17">
    <cfRule type="cellIs" dxfId="3973" priority="791" stopIfTrue="1" operator="greaterThanOrEqual">
      <formula>70</formula>
    </cfRule>
  </conditionalFormatting>
  <conditionalFormatting sqref="I17">
    <cfRule type="cellIs" dxfId="3972" priority="792" stopIfTrue="1" operator="between">
      <formula>60</formula>
      <formula>69.999</formula>
    </cfRule>
  </conditionalFormatting>
  <conditionalFormatting sqref="I17">
    <cfRule type="cellIs" dxfId="3971" priority="793" stopIfTrue="1" operator="between">
      <formula>50</formula>
      <formula>59.999</formula>
    </cfRule>
  </conditionalFormatting>
  <conditionalFormatting sqref="I17">
    <cfRule type="cellIs" dxfId="3970" priority="794" stopIfTrue="1" operator="between">
      <formula>40</formula>
      <formula>49.999</formula>
    </cfRule>
  </conditionalFormatting>
  <conditionalFormatting sqref="I17">
    <cfRule type="cellIs" dxfId="3969" priority="795" stopIfTrue="1" operator="lessThan">
      <formula>40</formula>
    </cfRule>
  </conditionalFormatting>
  <conditionalFormatting sqref="L17">
    <cfRule type="expression" dxfId="3968" priority="796" stopIfTrue="1">
      <formula>ISBLANK(L17)</formula>
    </cfRule>
  </conditionalFormatting>
  <conditionalFormatting sqref="L17">
    <cfRule type="cellIs" dxfId="3967" priority="797" stopIfTrue="1" operator="equal">
      <formula>"No grades yet"</formula>
    </cfRule>
  </conditionalFormatting>
  <conditionalFormatting sqref="L17">
    <cfRule type="cellIs" dxfId="3966" priority="798" stopIfTrue="1" operator="greaterThanOrEqual">
      <formula>70</formula>
    </cfRule>
  </conditionalFormatting>
  <conditionalFormatting sqref="L17">
    <cfRule type="cellIs" dxfId="3965" priority="799" stopIfTrue="1" operator="between">
      <formula>60</formula>
      <formula>69.999</formula>
    </cfRule>
  </conditionalFormatting>
  <conditionalFormatting sqref="L17">
    <cfRule type="cellIs" dxfId="3964" priority="800" stopIfTrue="1" operator="between">
      <formula>50</formula>
      <formula>59.999</formula>
    </cfRule>
  </conditionalFormatting>
  <conditionalFormatting sqref="L17">
    <cfRule type="cellIs" dxfId="3963" priority="801" stopIfTrue="1" operator="between">
      <formula>40</formula>
      <formula>49.999</formula>
    </cfRule>
  </conditionalFormatting>
  <conditionalFormatting sqref="L17">
    <cfRule type="cellIs" dxfId="3962" priority="802" stopIfTrue="1" operator="lessThan">
      <formula>40</formula>
    </cfRule>
  </conditionalFormatting>
  <conditionalFormatting sqref="I21:I24">
    <cfRule type="expression" dxfId="3961" priority="803" stopIfTrue="1">
      <formula>ISBLANK(I21)</formula>
    </cfRule>
  </conditionalFormatting>
  <conditionalFormatting sqref="I21:I24">
    <cfRule type="cellIs" dxfId="3960" priority="804" stopIfTrue="1" operator="equal">
      <formula>"No grades yet"</formula>
    </cfRule>
  </conditionalFormatting>
  <conditionalFormatting sqref="I21:I24">
    <cfRule type="cellIs" dxfId="3959" priority="805" stopIfTrue="1" operator="greaterThanOrEqual">
      <formula>70</formula>
    </cfRule>
  </conditionalFormatting>
  <conditionalFormatting sqref="I21:I24">
    <cfRule type="cellIs" dxfId="3958" priority="806" stopIfTrue="1" operator="between">
      <formula>60</formula>
      <formula>69.999</formula>
    </cfRule>
  </conditionalFormatting>
  <conditionalFormatting sqref="I21:I24">
    <cfRule type="cellIs" dxfId="3957" priority="807" stopIfTrue="1" operator="between">
      <formula>50</formula>
      <formula>59.999</formula>
    </cfRule>
  </conditionalFormatting>
  <conditionalFormatting sqref="I21:I24">
    <cfRule type="cellIs" dxfId="3956" priority="808" stopIfTrue="1" operator="between">
      <formula>40</formula>
      <formula>49.999</formula>
    </cfRule>
  </conditionalFormatting>
  <conditionalFormatting sqref="I21:I24">
    <cfRule type="cellIs" dxfId="3955" priority="809" stopIfTrue="1" operator="lessThan">
      <formula>40</formula>
    </cfRule>
  </conditionalFormatting>
  <conditionalFormatting sqref="L21:L24">
    <cfRule type="expression" dxfId="3954" priority="810" stopIfTrue="1">
      <formula>ISBLANK(L21)</formula>
    </cfRule>
  </conditionalFormatting>
  <conditionalFormatting sqref="L21:L24">
    <cfRule type="cellIs" dxfId="3953" priority="811" stopIfTrue="1" operator="equal">
      <formula>"No grades yet"</formula>
    </cfRule>
  </conditionalFormatting>
  <conditionalFormatting sqref="L21:L24">
    <cfRule type="cellIs" dxfId="3952" priority="812" stopIfTrue="1" operator="greaterThanOrEqual">
      <formula>70</formula>
    </cfRule>
  </conditionalFormatting>
  <conditionalFormatting sqref="L21:L24">
    <cfRule type="cellIs" dxfId="3951" priority="813" stopIfTrue="1" operator="between">
      <formula>60</formula>
      <formula>69.999</formula>
    </cfRule>
  </conditionalFormatting>
  <conditionalFormatting sqref="L21:L24">
    <cfRule type="cellIs" dxfId="3950" priority="814" stopIfTrue="1" operator="between">
      <formula>50</formula>
      <formula>59.999</formula>
    </cfRule>
  </conditionalFormatting>
  <conditionalFormatting sqref="L21:L24">
    <cfRule type="cellIs" dxfId="3949" priority="815" stopIfTrue="1" operator="between">
      <formula>40</formula>
      <formula>49.999</formula>
    </cfRule>
  </conditionalFormatting>
  <conditionalFormatting sqref="L21:L24">
    <cfRule type="cellIs" dxfId="3948" priority="816" stopIfTrue="1" operator="lessThan">
      <formula>40</formula>
    </cfRule>
  </conditionalFormatting>
  <conditionalFormatting sqref="I25:I26">
    <cfRule type="expression" dxfId="3947" priority="817" stopIfTrue="1">
      <formula>ISBLANK(I25)</formula>
    </cfRule>
  </conditionalFormatting>
  <conditionalFormatting sqref="I25:I26">
    <cfRule type="cellIs" dxfId="3946" priority="818" stopIfTrue="1" operator="equal">
      <formula>"No grades yet"</formula>
    </cfRule>
  </conditionalFormatting>
  <conditionalFormatting sqref="I25:I26">
    <cfRule type="cellIs" dxfId="3945" priority="819" stopIfTrue="1" operator="greaterThanOrEqual">
      <formula>70</formula>
    </cfRule>
  </conditionalFormatting>
  <conditionalFormatting sqref="I25:I26">
    <cfRule type="cellIs" dxfId="3944" priority="820" stopIfTrue="1" operator="between">
      <formula>60</formula>
      <formula>69.999</formula>
    </cfRule>
  </conditionalFormatting>
  <conditionalFormatting sqref="I25:I26">
    <cfRule type="cellIs" dxfId="3943" priority="821" stopIfTrue="1" operator="between">
      <formula>50</formula>
      <formula>59.999</formula>
    </cfRule>
  </conditionalFormatting>
  <conditionalFormatting sqref="I25:I26">
    <cfRule type="cellIs" dxfId="3942" priority="822" stopIfTrue="1" operator="between">
      <formula>40</formula>
      <formula>49.999</formula>
    </cfRule>
  </conditionalFormatting>
  <conditionalFormatting sqref="I25:I26">
    <cfRule type="cellIs" dxfId="3941" priority="823" stopIfTrue="1" operator="lessThan">
      <formula>40</formula>
    </cfRule>
  </conditionalFormatting>
  <conditionalFormatting sqref="L25:L26">
    <cfRule type="expression" dxfId="3940" priority="824" stopIfTrue="1">
      <formula>ISBLANK(L25)</formula>
    </cfRule>
  </conditionalFormatting>
  <conditionalFormatting sqref="L25:L26">
    <cfRule type="cellIs" dxfId="3939" priority="825" stopIfTrue="1" operator="equal">
      <formula>"No grades yet"</formula>
    </cfRule>
  </conditionalFormatting>
  <conditionalFormatting sqref="L25:L26">
    <cfRule type="cellIs" dxfId="3938" priority="826" stopIfTrue="1" operator="greaterThanOrEqual">
      <formula>70</formula>
    </cfRule>
  </conditionalFormatting>
  <conditionalFormatting sqref="L25:L26">
    <cfRule type="cellIs" dxfId="3937" priority="827" stopIfTrue="1" operator="between">
      <formula>60</formula>
      <formula>69.999</formula>
    </cfRule>
  </conditionalFormatting>
  <conditionalFormatting sqref="L25:L26">
    <cfRule type="cellIs" dxfId="3936" priority="828" stopIfTrue="1" operator="between">
      <formula>50</formula>
      <formula>59.999</formula>
    </cfRule>
  </conditionalFormatting>
  <conditionalFormatting sqref="L25:L26">
    <cfRule type="cellIs" dxfId="3935" priority="829" stopIfTrue="1" operator="between">
      <formula>40</formula>
      <formula>49.999</formula>
    </cfRule>
  </conditionalFormatting>
  <conditionalFormatting sqref="L25:L26">
    <cfRule type="cellIs" dxfId="3934" priority="830" stopIfTrue="1" operator="lessThan">
      <formula>40</formula>
    </cfRule>
  </conditionalFormatting>
  <conditionalFormatting sqref="I27:I29">
    <cfRule type="expression" dxfId="3933" priority="831" stopIfTrue="1">
      <formula>ISBLANK(I27)</formula>
    </cfRule>
  </conditionalFormatting>
  <conditionalFormatting sqref="I27:I29">
    <cfRule type="cellIs" dxfId="3932" priority="832" stopIfTrue="1" operator="equal">
      <formula>"No grades yet"</formula>
    </cfRule>
  </conditionalFormatting>
  <conditionalFormatting sqref="I27:I29">
    <cfRule type="cellIs" dxfId="3931" priority="833" stopIfTrue="1" operator="greaterThanOrEqual">
      <formula>70</formula>
    </cfRule>
  </conditionalFormatting>
  <conditionalFormatting sqref="I27:I29">
    <cfRule type="cellIs" dxfId="3930" priority="834" stopIfTrue="1" operator="between">
      <formula>60</formula>
      <formula>69.999</formula>
    </cfRule>
  </conditionalFormatting>
  <conditionalFormatting sqref="I27:I29">
    <cfRule type="cellIs" dxfId="3929" priority="835" stopIfTrue="1" operator="between">
      <formula>50</formula>
      <formula>59.999</formula>
    </cfRule>
  </conditionalFormatting>
  <conditionalFormatting sqref="I27:I29">
    <cfRule type="cellIs" dxfId="3928" priority="836" stopIfTrue="1" operator="between">
      <formula>40</formula>
      <formula>49.999</formula>
    </cfRule>
  </conditionalFormatting>
  <conditionalFormatting sqref="I27:I29">
    <cfRule type="cellIs" dxfId="3927" priority="837" stopIfTrue="1" operator="lessThan">
      <formula>40</formula>
    </cfRule>
  </conditionalFormatting>
  <conditionalFormatting sqref="L27:L29">
    <cfRule type="expression" dxfId="3926" priority="838" stopIfTrue="1">
      <formula>ISBLANK(L27)</formula>
    </cfRule>
  </conditionalFormatting>
  <conditionalFormatting sqref="L27:L29">
    <cfRule type="cellIs" dxfId="3925" priority="839" stopIfTrue="1" operator="equal">
      <formula>"No grades yet"</formula>
    </cfRule>
  </conditionalFormatting>
  <conditionalFormatting sqref="L27:L29">
    <cfRule type="cellIs" dxfId="3924" priority="840" stopIfTrue="1" operator="greaterThanOrEqual">
      <formula>70</formula>
    </cfRule>
  </conditionalFormatting>
  <conditionalFormatting sqref="L27:L29">
    <cfRule type="cellIs" dxfId="3923" priority="841" stopIfTrue="1" operator="between">
      <formula>60</formula>
      <formula>69.999</formula>
    </cfRule>
  </conditionalFormatting>
  <conditionalFormatting sqref="L27:L29">
    <cfRule type="cellIs" dxfId="3922" priority="842" stopIfTrue="1" operator="between">
      <formula>50</formula>
      <formula>59.999</formula>
    </cfRule>
  </conditionalFormatting>
  <conditionalFormatting sqref="L27:L29">
    <cfRule type="cellIs" dxfId="3921" priority="843" stopIfTrue="1" operator="between">
      <formula>40</formula>
      <formula>49.999</formula>
    </cfRule>
  </conditionalFormatting>
  <conditionalFormatting sqref="L27:L29">
    <cfRule type="cellIs" dxfId="3920" priority="844" stopIfTrue="1" operator="lessThan">
      <formula>40</formula>
    </cfRule>
  </conditionalFormatting>
  <conditionalFormatting sqref="I30:I31">
    <cfRule type="expression" dxfId="3919" priority="845" stopIfTrue="1">
      <formula>ISBLANK(I30)</formula>
    </cfRule>
  </conditionalFormatting>
  <conditionalFormatting sqref="I30:I31">
    <cfRule type="cellIs" dxfId="3918" priority="846" stopIfTrue="1" operator="equal">
      <formula>"No grades yet"</formula>
    </cfRule>
  </conditionalFormatting>
  <conditionalFormatting sqref="I30:I31">
    <cfRule type="cellIs" dxfId="3917" priority="847" stopIfTrue="1" operator="greaterThanOrEqual">
      <formula>70</formula>
    </cfRule>
  </conditionalFormatting>
  <conditionalFormatting sqref="I30:I31">
    <cfRule type="cellIs" dxfId="3916" priority="848" stopIfTrue="1" operator="between">
      <formula>60</formula>
      <formula>69.999</formula>
    </cfRule>
  </conditionalFormatting>
  <conditionalFormatting sqref="I30:I31">
    <cfRule type="cellIs" dxfId="3915" priority="849" stopIfTrue="1" operator="between">
      <formula>50</formula>
      <formula>59.999</formula>
    </cfRule>
  </conditionalFormatting>
  <conditionalFormatting sqref="I30:I31">
    <cfRule type="cellIs" dxfId="3914" priority="850" stopIfTrue="1" operator="between">
      <formula>40</formula>
      <formula>49.999</formula>
    </cfRule>
  </conditionalFormatting>
  <conditionalFormatting sqref="I30:I31">
    <cfRule type="cellIs" dxfId="3913" priority="851" stopIfTrue="1" operator="lessThan">
      <formula>40</formula>
    </cfRule>
  </conditionalFormatting>
  <conditionalFormatting sqref="L30:L31">
    <cfRule type="expression" dxfId="3912" priority="852" stopIfTrue="1">
      <formula>ISBLANK(L30)</formula>
    </cfRule>
  </conditionalFormatting>
  <conditionalFormatting sqref="L30:L31">
    <cfRule type="cellIs" dxfId="3911" priority="853" stopIfTrue="1" operator="equal">
      <formula>"No grades yet"</formula>
    </cfRule>
  </conditionalFormatting>
  <conditionalFormatting sqref="L30:L31">
    <cfRule type="cellIs" dxfId="3910" priority="854" stopIfTrue="1" operator="greaterThanOrEqual">
      <formula>70</formula>
    </cfRule>
  </conditionalFormatting>
  <conditionalFormatting sqref="L30:L31">
    <cfRule type="cellIs" dxfId="3909" priority="855" stopIfTrue="1" operator="between">
      <formula>60</formula>
      <formula>69.999</formula>
    </cfRule>
  </conditionalFormatting>
  <conditionalFormatting sqref="L30:L31">
    <cfRule type="cellIs" dxfId="3908" priority="856" stopIfTrue="1" operator="between">
      <formula>50</formula>
      <formula>59.999</formula>
    </cfRule>
  </conditionalFormatting>
  <conditionalFormatting sqref="L30:L31">
    <cfRule type="cellIs" dxfId="3907" priority="857" stopIfTrue="1" operator="between">
      <formula>40</formula>
      <formula>49.999</formula>
    </cfRule>
  </conditionalFormatting>
  <conditionalFormatting sqref="L30:L31">
    <cfRule type="cellIs" dxfId="3906" priority="858" stopIfTrue="1" operator="lessThan">
      <formula>40</formula>
    </cfRule>
  </conditionalFormatting>
  <conditionalFormatting sqref="I32">
    <cfRule type="expression" dxfId="3905" priority="859" stopIfTrue="1">
      <formula>ISBLANK(I32)</formula>
    </cfRule>
  </conditionalFormatting>
  <conditionalFormatting sqref="I32">
    <cfRule type="cellIs" dxfId="3904" priority="860" stopIfTrue="1" operator="equal">
      <formula>"No grades yet"</formula>
    </cfRule>
  </conditionalFormatting>
  <conditionalFormatting sqref="I32">
    <cfRule type="cellIs" dxfId="3903" priority="861" stopIfTrue="1" operator="greaterThanOrEqual">
      <formula>70</formula>
    </cfRule>
  </conditionalFormatting>
  <conditionalFormatting sqref="I32">
    <cfRule type="cellIs" dxfId="3902" priority="862" stopIfTrue="1" operator="between">
      <formula>60</formula>
      <formula>69.999</formula>
    </cfRule>
  </conditionalFormatting>
  <conditionalFormatting sqref="I32">
    <cfRule type="cellIs" dxfId="3901" priority="863" stopIfTrue="1" operator="between">
      <formula>50</formula>
      <formula>59.999</formula>
    </cfRule>
  </conditionalFormatting>
  <conditionalFormatting sqref="I32">
    <cfRule type="cellIs" dxfId="3900" priority="864" stopIfTrue="1" operator="between">
      <formula>40</formula>
      <formula>49.999</formula>
    </cfRule>
  </conditionalFormatting>
  <conditionalFormatting sqref="I32">
    <cfRule type="cellIs" dxfId="3899" priority="865" stopIfTrue="1" operator="lessThan">
      <formula>40</formula>
    </cfRule>
  </conditionalFormatting>
  <conditionalFormatting sqref="L32">
    <cfRule type="expression" dxfId="3898" priority="866" stopIfTrue="1">
      <formula>ISBLANK(L32)</formula>
    </cfRule>
  </conditionalFormatting>
  <conditionalFormatting sqref="L32">
    <cfRule type="cellIs" dxfId="3897" priority="867" stopIfTrue="1" operator="equal">
      <formula>"No grades yet"</formula>
    </cfRule>
  </conditionalFormatting>
  <conditionalFormatting sqref="L32">
    <cfRule type="cellIs" dxfId="3896" priority="868" stopIfTrue="1" operator="greaterThanOrEqual">
      <formula>70</formula>
    </cfRule>
  </conditionalFormatting>
  <conditionalFormatting sqref="L32">
    <cfRule type="cellIs" dxfId="3895" priority="869" stopIfTrue="1" operator="between">
      <formula>60</formula>
      <formula>69.999</formula>
    </cfRule>
  </conditionalFormatting>
  <conditionalFormatting sqref="L32">
    <cfRule type="cellIs" dxfId="3894" priority="870" stopIfTrue="1" operator="between">
      <formula>50</formula>
      <formula>59.999</formula>
    </cfRule>
  </conditionalFormatting>
  <conditionalFormatting sqref="L32">
    <cfRule type="cellIs" dxfId="3893" priority="871" stopIfTrue="1" operator="between">
      <formula>40</formula>
      <formula>49.999</formula>
    </cfRule>
  </conditionalFormatting>
  <conditionalFormatting sqref="L32">
    <cfRule type="cellIs" dxfId="3892" priority="872" stopIfTrue="1" operator="lessThan">
      <formula>40</formula>
    </cfRule>
  </conditionalFormatting>
  <conditionalFormatting sqref="I33:I34">
    <cfRule type="expression" dxfId="3891" priority="873" stopIfTrue="1">
      <formula>ISBLANK(I33)</formula>
    </cfRule>
  </conditionalFormatting>
  <conditionalFormatting sqref="I33:I34">
    <cfRule type="cellIs" dxfId="3890" priority="874" stopIfTrue="1" operator="equal">
      <formula>"No grades yet"</formula>
    </cfRule>
  </conditionalFormatting>
  <conditionalFormatting sqref="I33:I34">
    <cfRule type="cellIs" dxfId="3889" priority="875" stopIfTrue="1" operator="greaterThanOrEqual">
      <formula>70</formula>
    </cfRule>
  </conditionalFormatting>
  <conditionalFormatting sqref="I33:I34">
    <cfRule type="cellIs" dxfId="3888" priority="876" stopIfTrue="1" operator="between">
      <formula>60</formula>
      <formula>69.999</formula>
    </cfRule>
  </conditionalFormatting>
  <conditionalFormatting sqref="I33:I34">
    <cfRule type="cellIs" dxfId="3887" priority="877" stopIfTrue="1" operator="between">
      <formula>50</formula>
      <formula>59.999</formula>
    </cfRule>
  </conditionalFormatting>
  <conditionalFormatting sqref="I33:I34">
    <cfRule type="cellIs" dxfId="3886" priority="878" stopIfTrue="1" operator="between">
      <formula>40</formula>
      <formula>49.999</formula>
    </cfRule>
  </conditionalFormatting>
  <conditionalFormatting sqref="I33:I34">
    <cfRule type="cellIs" dxfId="3885" priority="879" stopIfTrue="1" operator="lessThan">
      <formula>40</formula>
    </cfRule>
  </conditionalFormatting>
  <conditionalFormatting sqref="L33:L34">
    <cfRule type="expression" dxfId="3884" priority="880" stopIfTrue="1">
      <formula>ISBLANK(L33)</formula>
    </cfRule>
  </conditionalFormatting>
  <conditionalFormatting sqref="L33:L34">
    <cfRule type="cellIs" dxfId="3883" priority="881" stopIfTrue="1" operator="equal">
      <formula>"No grades yet"</formula>
    </cfRule>
  </conditionalFormatting>
  <conditionalFormatting sqref="L33:L34">
    <cfRule type="cellIs" dxfId="3882" priority="882" stopIfTrue="1" operator="greaterThanOrEqual">
      <formula>70</formula>
    </cfRule>
  </conditionalFormatting>
  <conditionalFormatting sqref="L33:L34">
    <cfRule type="cellIs" dxfId="3881" priority="883" stopIfTrue="1" operator="between">
      <formula>60</formula>
      <formula>69.999</formula>
    </cfRule>
  </conditionalFormatting>
  <conditionalFormatting sqref="L33:L34">
    <cfRule type="cellIs" dxfId="3880" priority="884" stopIfTrue="1" operator="between">
      <formula>50</formula>
      <formula>59.999</formula>
    </cfRule>
  </conditionalFormatting>
  <conditionalFormatting sqref="L33:L34">
    <cfRule type="cellIs" dxfId="3879" priority="885" stopIfTrue="1" operator="between">
      <formula>40</formula>
      <formula>49.999</formula>
    </cfRule>
  </conditionalFormatting>
  <conditionalFormatting sqref="L33:L34">
    <cfRule type="cellIs" dxfId="3878" priority="886" stopIfTrue="1" operator="lessThan">
      <formula>40</formula>
    </cfRule>
  </conditionalFormatting>
  <conditionalFormatting sqref="I35:I36">
    <cfRule type="expression" dxfId="3877" priority="887" stopIfTrue="1">
      <formula>ISBLANK(I35)</formula>
    </cfRule>
  </conditionalFormatting>
  <conditionalFormatting sqref="I35:I36">
    <cfRule type="cellIs" dxfId="3876" priority="888" stopIfTrue="1" operator="equal">
      <formula>"No grades yet"</formula>
    </cfRule>
  </conditionalFormatting>
  <conditionalFormatting sqref="I35:I36">
    <cfRule type="cellIs" dxfId="3875" priority="889" stopIfTrue="1" operator="greaterThanOrEqual">
      <formula>70</formula>
    </cfRule>
  </conditionalFormatting>
  <conditionalFormatting sqref="I35:I36">
    <cfRule type="cellIs" dxfId="3874" priority="890" stopIfTrue="1" operator="between">
      <formula>60</formula>
      <formula>69.999</formula>
    </cfRule>
  </conditionalFormatting>
  <conditionalFormatting sqref="I35:I36">
    <cfRule type="cellIs" dxfId="3873" priority="891" stopIfTrue="1" operator="between">
      <formula>50</formula>
      <formula>59.999</formula>
    </cfRule>
  </conditionalFormatting>
  <conditionalFormatting sqref="I35:I36">
    <cfRule type="cellIs" dxfId="3872" priority="892" stopIfTrue="1" operator="between">
      <formula>40</formula>
      <formula>49.999</formula>
    </cfRule>
  </conditionalFormatting>
  <conditionalFormatting sqref="I35:I36">
    <cfRule type="cellIs" dxfId="3871" priority="893" stopIfTrue="1" operator="lessThan">
      <formula>40</formula>
    </cfRule>
  </conditionalFormatting>
  <conditionalFormatting sqref="L35:L36">
    <cfRule type="expression" dxfId="3870" priority="894" stopIfTrue="1">
      <formula>ISBLANK(L35)</formula>
    </cfRule>
  </conditionalFormatting>
  <conditionalFormatting sqref="L35:L36">
    <cfRule type="cellIs" dxfId="3869" priority="895" stopIfTrue="1" operator="equal">
      <formula>"No grades yet"</formula>
    </cfRule>
  </conditionalFormatting>
  <conditionalFormatting sqref="L35:L36">
    <cfRule type="cellIs" dxfId="3868" priority="896" stopIfTrue="1" operator="greaterThanOrEqual">
      <formula>70</formula>
    </cfRule>
  </conditionalFormatting>
  <conditionalFormatting sqref="L35:L36">
    <cfRule type="cellIs" dxfId="3867" priority="897" stopIfTrue="1" operator="between">
      <formula>60</formula>
      <formula>69.999</formula>
    </cfRule>
  </conditionalFormatting>
  <conditionalFormatting sqref="L35:L36">
    <cfRule type="cellIs" dxfId="3866" priority="898" stopIfTrue="1" operator="between">
      <formula>50</formula>
      <formula>59.999</formula>
    </cfRule>
  </conditionalFormatting>
  <conditionalFormatting sqref="L35:L36">
    <cfRule type="cellIs" dxfId="3865" priority="899" stopIfTrue="1" operator="between">
      <formula>40</formula>
      <formula>49.999</formula>
    </cfRule>
  </conditionalFormatting>
  <conditionalFormatting sqref="L35:L36">
    <cfRule type="cellIs" dxfId="3864" priority="900" stopIfTrue="1" operator="lessThan">
      <formula>40</formula>
    </cfRule>
  </conditionalFormatting>
  <conditionalFormatting sqref="I37:I40">
    <cfRule type="expression" dxfId="3863" priority="901" stopIfTrue="1">
      <formula>ISBLANK(I37)</formula>
    </cfRule>
  </conditionalFormatting>
  <conditionalFormatting sqref="I37:I40">
    <cfRule type="cellIs" dxfId="3862" priority="902" stopIfTrue="1" operator="equal">
      <formula>"No grades yet"</formula>
    </cfRule>
  </conditionalFormatting>
  <conditionalFormatting sqref="I37:I40">
    <cfRule type="cellIs" dxfId="3861" priority="903" stopIfTrue="1" operator="greaterThanOrEqual">
      <formula>70</formula>
    </cfRule>
  </conditionalFormatting>
  <conditionalFormatting sqref="I37:I40">
    <cfRule type="cellIs" dxfId="3860" priority="904" stopIfTrue="1" operator="between">
      <formula>60</formula>
      <formula>69.999</formula>
    </cfRule>
  </conditionalFormatting>
  <conditionalFormatting sqref="I37:I40">
    <cfRule type="cellIs" dxfId="3859" priority="905" stopIfTrue="1" operator="between">
      <formula>50</formula>
      <formula>59.999</formula>
    </cfRule>
  </conditionalFormatting>
  <conditionalFormatting sqref="I37:I40">
    <cfRule type="cellIs" dxfId="3858" priority="906" stopIfTrue="1" operator="between">
      <formula>40</formula>
      <formula>49.999</formula>
    </cfRule>
  </conditionalFormatting>
  <conditionalFormatting sqref="I37:I40">
    <cfRule type="cellIs" dxfId="3857" priority="907" stopIfTrue="1" operator="lessThan">
      <formula>40</formula>
    </cfRule>
  </conditionalFormatting>
  <conditionalFormatting sqref="L37:L40">
    <cfRule type="expression" dxfId="3856" priority="908" stopIfTrue="1">
      <formula>ISBLANK(L37)</formula>
    </cfRule>
  </conditionalFormatting>
  <conditionalFormatting sqref="L37:L40">
    <cfRule type="cellIs" dxfId="3855" priority="909" stopIfTrue="1" operator="equal">
      <formula>"No grades yet"</formula>
    </cfRule>
  </conditionalFormatting>
  <conditionalFormatting sqref="L37:L40">
    <cfRule type="cellIs" dxfId="3854" priority="910" stopIfTrue="1" operator="greaterThanOrEqual">
      <formula>70</formula>
    </cfRule>
  </conditionalFormatting>
  <conditionalFormatting sqref="L37:L40">
    <cfRule type="cellIs" dxfId="3853" priority="911" stopIfTrue="1" operator="between">
      <formula>60</formula>
      <formula>69.999</formula>
    </cfRule>
  </conditionalFormatting>
  <conditionalFormatting sqref="L37:L40">
    <cfRule type="cellIs" dxfId="3852" priority="912" stopIfTrue="1" operator="between">
      <formula>50</formula>
      <formula>59.999</formula>
    </cfRule>
  </conditionalFormatting>
  <conditionalFormatting sqref="L37:L40">
    <cfRule type="cellIs" dxfId="3851" priority="913" stopIfTrue="1" operator="between">
      <formula>40</formula>
      <formula>49.999</formula>
    </cfRule>
  </conditionalFormatting>
  <conditionalFormatting sqref="L37:L40">
    <cfRule type="cellIs" dxfId="3850" priority="914" stopIfTrue="1" operator="lessThan">
      <formula>40</formula>
    </cfRule>
  </conditionalFormatting>
  <conditionalFormatting sqref="I41">
    <cfRule type="expression" dxfId="3849" priority="915" stopIfTrue="1">
      <formula>ISBLANK(I41)</formula>
    </cfRule>
  </conditionalFormatting>
  <conditionalFormatting sqref="I41">
    <cfRule type="cellIs" dxfId="3848" priority="916" stopIfTrue="1" operator="equal">
      <formula>"No grades yet"</formula>
    </cfRule>
  </conditionalFormatting>
  <conditionalFormatting sqref="I41">
    <cfRule type="cellIs" dxfId="3847" priority="917" stopIfTrue="1" operator="greaterThanOrEqual">
      <formula>70</formula>
    </cfRule>
  </conditionalFormatting>
  <conditionalFormatting sqref="I41">
    <cfRule type="cellIs" dxfId="3846" priority="918" stopIfTrue="1" operator="between">
      <formula>60</formula>
      <formula>69.999</formula>
    </cfRule>
  </conditionalFormatting>
  <conditionalFormatting sqref="I41">
    <cfRule type="cellIs" dxfId="3845" priority="919" stopIfTrue="1" operator="between">
      <formula>50</formula>
      <formula>59.999</formula>
    </cfRule>
  </conditionalFormatting>
  <conditionalFormatting sqref="I41">
    <cfRule type="cellIs" dxfId="3844" priority="920" stopIfTrue="1" operator="between">
      <formula>40</formula>
      <formula>49.999</formula>
    </cfRule>
  </conditionalFormatting>
  <conditionalFormatting sqref="I41">
    <cfRule type="cellIs" dxfId="3843" priority="921" stopIfTrue="1" operator="lessThan">
      <formula>40</formula>
    </cfRule>
  </conditionalFormatting>
  <conditionalFormatting sqref="L41">
    <cfRule type="expression" dxfId="3842" priority="922" stopIfTrue="1">
      <formula>ISBLANK(L41)</formula>
    </cfRule>
  </conditionalFormatting>
  <conditionalFormatting sqref="L41">
    <cfRule type="cellIs" dxfId="3841" priority="923" stopIfTrue="1" operator="equal">
      <formula>"No grades yet"</formula>
    </cfRule>
  </conditionalFormatting>
  <conditionalFormatting sqref="L41">
    <cfRule type="cellIs" dxfId="3840" priority="924" stopIfTrue="1" operator="greaterThanOrEqual">
      <formula>70</formula>
    </cfRule>
  </conditionalFormatting>
  <conditionalFormatting sqref="L41">
    <cfRule type="cellIs" dxfId="3839" priority="925" stopIfTrue="1" operator="between">
      <formula>60</formula>
      <formula>69.999</formula>
    </cfRule>
  </conditionalFormatting>
  <conditionalFormatting sqref="L41">
    <cfRule type="cellIs" dxfId="3838" priority="926" stopIfTrue="1" operator="between">
      <formula>50</formula>
      <formula>59.999</formula>
    </cfRule>
  </conditionalFormatting>
  <conditionalFormatting sqref="L41">
    <cfRule type="cellIs" dxfId="3837" priority="927" stopIfTrue="1" operator="between">
      <formula>40</formula>
      <formula>49.999</formula>
    </cfRule>
  </conditionalFormatting>
  <conditionalFormatting sqref="L41">
    <cfRule type="cellIs" dxfId="3836" priority="928" stopIfTrue="1" operator="lessThan">
      <formula>40</formula>
    </cfRule>
  </conditionalFormatting>
  <conditionalFormatting sqref="I42:I43">
    <cfRule type="expression" dxfId="3835" priority="929" stopIfTrue="1">
      <formula>ISBLANK(I42)</formula>
    </cfRule>
  </conditionalFormatting>
  <conditionalFormatting sqref="I42:I43">
    <cfRule type="cellIs" dxfId="3834" priority="930" stopIfTrue="1" operator="equal">
      <formula>"No grades yet"</formula>
    </cfRule>
  </conditionalFormatting>
  <conditionalFormatting sqref="I42:I43">
    <cfRule type="cellIs" dxfId="3833" priority="931" stopIfTrue="1" operator="greaterThanOrEqual">
      <formula>70</formula>
    </cfRule>
  </conditionalFormatting>
  <conditionalFormatting sqref="I42:I43">
    <cfRule type="cellIs" dxfId="3832" priority="932" stopIfTrue="1" operator="between">
      <formula>60</formula>
      <formula>69.999</formula>
    </cfRule>
  </conditionalFormatting>
  <conditionalFormatting sqref="I42:I43">
    <cfRule type="cellIs" dxfId="3831" priority="933" stopIfTrue="1" operator="between">
      <formula>50</formula>
      <formula>59.999</formula>
    </cfRule>
  </conditionalFormatting>
  <conditionalFormatting sqref="I42:I43">
    <cfRule type="cellIs" dxfId="3830" priority="934" stopIfTrue="1" operator="between">
      <formula>40</formula>
      <formula>49.999</formula>
    </cfRule>
  </conditionalFormatting>
  <conditionalFormatting sqref="I42:I43">
    <cfRule type="cellIs" dxfId="3829" priority="935" stopIfTrue="1" operator="lessThan">
      <formula>40</formula>
    </cfRule>
  </conditionalFormatting>
  <conditionalFormatting sqref="L42:L43">
    <cfRule type="expression" dxfId="3828" priority="936" stopIfTrue="1">
      <formula>ISBLANK(L42)</formula>
    </cfRule>
  </conditionalFormatting>
  <conditionalFormatting sqref="L42:L43">
    <cfRule type="cellIs" dxfId="3827" priority="937" stopIfTrue="1" operator="equal">
      <formula>"No grades yet"</formula>
    </cfRule>
  </conditionalFormatting>
  <conditionalFormatting sqref="L42:L43">
    <cfRule type="cellIs" dxfId="3826" priority="938" stopIfTrue="1" operator="greaterThanOrEqual">
      <formula>70</formula>
    </cfRule>
  </conditionalFormatting>
  <conditionalFormatting sqref="L42:L43">
    <cfRule type="cellIs" dxfId="3825" priority="939" stopIfTrue="1" operator="between">
      <formula>60</formula>
      <formula>69.999</formula>
    </cfRule>
  </conditionalFormatting>
  <conditionalFormatting sqref="L42:L43">
    <cfRule type="cellIs" dxfId="3824" priority="940" stopIfTrue="1" operator="between">
      <formula>50</formula>
      <formula>59.999</formula>
    </cfRule>
  </conditionalFormatting>
  <conditionalFormatting sqref="L42:L43">
    <cfRule type="cellIs" dxfId="3823" priority="941" stopIfTrue="1" operator="between">
      <formula>40</formula>
      <formula>49.999</formula>
    </cfRule>
  </conditionalFormatting>
  <conditionalFormatting sqref="L42:L43">
    <cfRule type="cellIs" dxfId="3822" priority="942" stopIfTrue="1" operator="lessThan">
      <formula>40</formula>
    </cfRule>
  </conditionalFormatting>
  <conditionalFormatting sqref="I44">
    <cfRule type="expression" dxfId="3821" priority="943" stopIfTrue="1">
      <formula>ISBLANK(I44)</formula>
    </cfRule>
  </conditionalFormatting>
  <conditionalFormatting sqref="I44">
    <cfRule type="cellIs" dxfId="3820" priority="944" stopIfTrue="1" operator="equal">
      <formula>"No grades yet"</formula>
    </cfRule>
  </conditionalFormatting>
  <conditionalFormatting sqref="I44">
    <cfRule type="cellIs" dxfId="3819" priority="945" stopIfTrue="1" operator="greaterThanOrEqual">
      <formula>70</formula>
    </cfRule>
  </conditionalFormatting>
  <conditionalFormatting sqref="I44">
    <cfRule type="cellIs" dxfId="3818" priority="946" stopIfTrue="1" operator="between">
      <formula>60</formula>
      <formula>69.999</formula>
    </cfRule>
  </conditionalFormatting>
  <conditionalFormatting sqref="I44">
    <cfRule type="cellIs" dxfId="3817" priority="947" stopIfTrue="1" operator="between">
      <formula>50</formula>
      <formula>59.999</formula>
    </cfRule>
  </conditionalFormatting>
  <conditionalFormatting sqref="I44">
    <cfRule type="cellIs" dxfId="3816" priority="948" stopIfTrue="1" operator="between">
      <formula>40</formula>
      <formula>49.999</formula>
    </cfRule>
  </conditionalFormatting>
  <conditionalFormatting sqref="I44">
    <cfRule type="cellIs" dxfId="3815" priority="949" stopIfTrue="1" operator="lessThan">
      <formula>40</formula>
    </cfRule>
  </conditionalFormatting>
  <conditionalFormatting sqref="L44">
    <cfRule type="expression" dxfId="3814" priority="950" stopIfTrue="1">
      <formula>ISBLANK(L44)</formula>
    </cfRule>
  </conditionalFormatting>
  <conditionalFormatting sqref="L44">
    <cfRule type="cellIs" dxfId="3813" priority="951" stopIfTrue="1" operator="equal">
      <formula>"No grades yet"</formula>
    </cfRule>
  </conditionalFormatting>
  <conditionalFormatting sqref="L44">
    <cfRule type="cellIs" dxfId="3812" priority="952" stopIfTrue="1" operator="greaterThanOrEqual">
      <formula>70</formula>
    </cfRule>
  </conditionalFormatting>
  <conditionalFormatting sqref="L44">
    <cfRule type="cellIs" dxfId="3811" priority="953" stopIfTrue="1" operator="between">
      <formula>60</formula>
      <formula>69.999</formula>
    </cfRule>
  </conditionalFormatting>
  <conditionalFormatting sqref="L44">
    <cfRule type="cellIs" dxfId="3810" priority="954" stopIfTrue="1" operator="between">
      <formula>50</formula>
      <formula>59.999</formula>
    </cfRule>
  </conditionalFormatting>
  <conditionalFormatting sqref="L44">
    <cfRule type="cellIs" dxfId="3809" priority="955" stopIfTrue="1" operator="between">
      <formula>40</formula>
      <formula>49.999</formula>
    </cfRule>
  </conditionalFormatting>
  <conditionalFormatting sqref="L44">
    <cfRule type="cellIs" dxfId="3808" priority="956" stopIfTrue="1" operator="lessThan">
      <formula>40</formula>
    </cfRule>
  </conditionalFormatting>
  <conditionalFormatting sqref="I45">
    <cfRule type="expression" dxfId="3807" priority="957" stopIfTrue="1">
      <formula>ISBLANK(I45)</formula>
    </cfRule>
  </conditionalFormatting>
  <conditionalFormatting sqref="I45">
    <cfRule type="cellIs" dxfId="3806" priority="958" stopIfTrue="1" operator="equal">
      <formula>"No grades yet"</formula>
    </cfRule>
  </conditionalFormatting>
  <conditionalFormatting sqref="I45">
    <cfRule type="cellIs" dxfId="3805" priority="959" stopIfTrue="1" operator="greaterThanOrEqual">
      <formula>70</formula>
    </cfRule>
  </conditionalFormatting>
  <conditionalFormatting sqref="I45">
    <cfRule type="cellIs" dxfId="3804" priority="960" stopIfTrue="1" operator="between">
      <formula>60</formula>
      <formula>69.999</formula>
    </cfRule>
  </conditionalFormatting>
  <conditionalFormatting sqref="I45">
    <cfRule type="cellIs" dxfId="3803" priority="961" stopIfTrue="1" operator="between">
      <formula>50</formula>
      <formula>59.999</formula>
    </cfRule>
  </conditionalFormatting>
  <conditionalFormatting sqref="I45">
    <cfRule type="cellIs" dxfId="3802" priority="962" stopIfTrue="1" operator="between">
      <formula>40</formula>
      <formula>49.999</formula>
    </cfRule>
  </conditionalFormatting>
  <conditionalFormatting sqref="I45">
    <cfRule type="cellIs" dxfId="3801" priority="963" stopIfTrue="1" operator="lessThan">
      <formula>40</formula>
    </cfRule>
  </conditionalFormatting>
  <conditionalFormatting sqref="L45">
    <cfRule type="expression" dxfId="3800" priority="964" stopIfTrue="1">
      <formula>ISBLANK(L45)</formula>
    </cfRule>
  </conditionalFormatting>
  <conditionalFormatting sqref="L45">
    <cfRule type="cellIs" dxfId="3799" priority="965" stopIfTrue="1" operator="equal">
      <formula>"No grades yet"</formula>
    </cfRule>
  </conditionalFormatting>
  <conditionalFormatting sqref="L45">
    <cfRule type="cellIs" dxfId="3798" priority="966" stopIfTrue="1" operator="greaterThanOrEqual">
      <formula>70</formula>
    </cfRule>
  </conditionalFormatting>
  <conditionalFormatting sqref="L45">
    <cfRule type="cellIs" dxfId="3797" priority="967" stopIfTrue="1" operator="between">
      <formula>60</formula>
      <formula>69.999</formula>
    </cfRule>
  </conditionalFormatting>
  <conditionalFormatting sqref="L45">
    <cfRule type="cellIs" dxfId="3796" priority="968" stopIfTrue="1" operator="between">
      <formula>50</formula>
      <formula>59.999</formula>
    </cfRule>
  </conditionalFormatting>
  <conditionalFormatting sqref="L45">
    <cfRule type="cellIs" dxfId="3795" priority="969" stopIfTrue="1" operator="between">
      <formula>40</formula>
      <formula>49.999</formula>
    </cfRule>
  </conditionalFormatting>
  <conditionalFormatting sqref="L45">
    <cfRule type="cellIs" dxfId="3794" priority="970" stopIfTrue="1" operator="lessThan">
      <formula>40</formula>
    </cfRule>
  </conditionalFormatting>
  <conditionalFormatting sqref="I46">
    <cfRule type="expression" dxfId="3793" priority="971" stopIfTrue="1">
      <formula>ISBLANK(I46)</formula>
    </cfRule>
  </conditionalFormatting>
  <conditionalFormatting sqref="I46">
    <cfRule type="cellIs" dxfId="3792" priority="972" stopIfTrue="1" operator="equal">
      <formula>"No grades yet"</formula>
    </cfRule>
  </conditionalFormatting>
  <conditionalFormatting sqref="I46">
    <cfRule type="cellIs" dxfId="3791" priority="973" stopIfTrue="1" operator="greaterThanOrEqual">
      <formula>70</formula>
    </cfRule>
  </conditionalFormatting>
  <conditionalFormatting sqref="I46">
    <cfRule type="cellIs" dxfId="3790" priority="974" stopIfTrue="1" operator="between">
      <formula>60</formula>
      <formula>69.999</formula>
    </cfRule>
  </conditionalFormatting>
  <conditionalFormatting sqref="I46">
    <cfRule type="cellIs" dxfId="3789" priority="975" stopIfTrue="1" operator="between">
      <formula>50</formula>
      <formula>59.999</formula>
    </cfRule>
  </conditionalFormatting>
  <conditionalFormatting sqref="I46">
    <cfRule type="cellIs" dxfId="3788" priority="976" stopIfTrue="1" operator="between">
      <formula>40</formula>
      <formula>49.999</formula>
    </cfRule>
  </conditionalFormatting>
  <conditionalFormatting sqref="I46">
    <cfRule type="cellIs" dxfId="3787" priority="977" stopIfTrue="1" operator="lessThan">
      <formula>40</formula>
    </cfRule>
  </conditionalFormatting>
  <conditionalFormatting sqref="L46">
    <cfRule type="expression" dxfId="3786" priority="978" stopIfTrue="1">
      <formula>ISBLANK(L46)</formula>
    </cfRule>
  </conditionalFormatting>
  <conditionalFormatting sqref="L46">
    <cfRule type="cellIs" dxfId="3785" priority="979" stopIfTrue="1" operator="equal">
      <formula>"No grades yet"</formula>
    </cfRule>
  </conditionalFormatting>
  <conditionalFormatting sqref="L46">
    <cfRule type="cellIs" dxfId="3784" priority="980" stopIfTrue="1" operator="greaterThanOrEqual">
      <formula>70</formula>
    </cfRule>
  </conditionalFormatting>
  <conditionalFormatting sqref="L46">
    <cfRule type="cellIs" dxfId="3783" priority="981" stopIfTrue="1" operator="between">
      <formula>60</formula>
      <formula>69.999</formula>
    </cfRule>
  </conditionalFormatting>
  <conditionalFormatting sqref="L46">
    <cfRule type="cellIs" dxfId="3782" priority="982" stopIfTrue="1" operator="between">
      <formula>50</formula>
      <formula>59.999</formula>
    </cfRule>
  </conditionalFormatting>
  <conditionalFormatting sqref="L46">
    <cfRule type="cellIs" dxfId="3781" priority="983" stopIfTrue="1" operator="between">
      <formula>40</formula>
      <formula>49.999</formula>
    </cfRule>
  </conditionalFormatting>
  <conditionalFormatting sqref="L46">
    <cfRule type="cellIs" dxfId="3780" priority="984" stopIfTrue="1" operator="lessThan">
      <formula>40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37F6-F4F1-4FC2-A92F-612CD0763188}">
  <sheetPr codeName="Sheet8"/>
  <dimension ref="A1:P55"/>
  <sheetViews>
    <sheetView topLeftCell="A36" zoomScale="66" workbookViewId="0">
      <selection activeCell="G49" sqref="G49"/>
    </sheetView>
  </sheetViews>
  <sheetFormatPr defaultRowHeight="13.2"/>
  <cols>
    <col min="1" max="1" width="21.77734375" customWidth="1"/>
    <col min="2" max="2" width="24.6640625" customWidth="1"/>
    <col min="3" max="3" width="9.5546875" customWidth="1"/>
    <col min="4" max="4" width="14.33203125" customWidth="1"/>
    <col min="5" max="5" width="12.109375" bestFit="1" customWidth="1"/>
    <col min="6" max="6" width="23.77734375" customWidth="1"/>
    <col min="7" max="7" width="15" bestFit="1" customWidth="1"/>
    <col min="8" max="8" width="38.21875" customWidth="1"/>
    <col min="9" max="9" width="7.6640625" bestFit="1" customWidth="1"/>
    <col min="10" max="10" width="17.44140625" hidden="1" customWidth="1"/>
    <col min="11" max="11" width="19.6640625" hidden="1" customWidth="1"/>
    <col min="12" max="12" width="19.6640625" bestFit="1" customWidth="1"/>
    <col min="13" max="13" width="25" customWidth="1"/>
    <col min="14" max="14" width="25.21875" hidden="1" customWidth="1"/>
    <col min="15" max="16" width="25.5546875" hidden="1" customWidth="1"/>
  </cols>
  <sheetData>
    <row r="1" spans="1:16" ht="13.8" thickBot="1">
      <c r="A1" s="1" t="s">
        <v>64</v>
      </c>
    </row>
    <row r="2" spans="1:16" ht="14.4" thickTop="1" thickBot="1">
      <c r="A2" s="27" t="s">
        <v>65</v>
      </c>
      <c r="B2" s="28" t="s">
        <v>1</v>
      </c>
      <c r="C2" s="28" t="s">
        <v>0</v>
      </c>
      <c r="D2" s="28" t="s">
        <v>91</v>
      </c>
      <c r="E2" s="28" t="s">
        <v>92</v>
      </c>
      <c r="F2" s="114" t="s">
        <v>224</v>
      </c>
      <c r="G2" s="114"/>
      <c r="H2" s="114"/>
      <c r="I2" s="28" t="s">
        <v>2</v>
      </c>
      <c r="J2" s="28" t="s">
        <v>3</v>
      </c>
      <c r="K2" s="28" t="s">
        <v>4</v>
      </c>
      <c r="L2" s="28" t="s">
        <v>5</v>
      </c>
      <c r="M2" s="28" t="s">
        <v>193</v>
      </c>
      <c r="N2" s="28" t="s">
        <v>7</v>
      </c>
      <c r="O2" s="28" t="s">
        <v>194</v>
      </c>
      <c r="P2" s="29" t="s">
        <v>195</v>
      </c>
    </row>
    <row r="3" spans="1:16" ht="13.8" thickTop="1">
      <c r="A3" s="111" t="s">
        <v>372</v>
      </c>
      <c r="B3" s="108" t="s">
        <v>373</v>
      </c>
      <c r="C3" s="105">
        <v>35</v>
      </c>
      <c r="D3" s="356">
        <v>0.58330000000000004</v>
      </c>
      <c r="E3" s="115">
        <v>0.5</v>
      </c>
      <c r="F3" s="25" t="s">
        <v>199</v>
      </c>
      <c r="G3" s="55">
        <v>0.1</v>
      </c>
      <c r="H3" s="26" t="s">
        <v>378</v>
      </c>
      <c r="I3" s="17">
        <v>23</v>
      </c>
      <c r="J3" s="69">
        <f>IF(G3=1, I3, SUMPRODUCT(I3:I5, G3:G5))</f>
        <v>77.2</v>
      </c>
      <c r="K3" s="69">
        <f>SUMIF(I3:I5, "&lt;&gt;", G3:G5) / SUMIF(G3:G5, "&lt;&gt;")</f>
        <v>1</v>
      </c>
      <c r="L3" s="69">
        <f>IFERROR(J3/K3, "No grades yet")</f>
        <v>77.2</v>
      </c>
      <c r="M3" s="69" t="str">
        <f>IFERROR(IF(K3 = 1, "Completed module", IF(((70 - J3) / (1 - K3)) &gt; 100, "Unattainable", IF(((70 - J3) / (1 - K3)) &lt; 0, "Already attained", ((70 - J3) / (1 - K3))))), "-")</f>
        <v>Completed module</v>
      </c>
      <c r="N3" s="69" t="str">
        <f>IFERROR(IF(K3 = 1, "Completed module", IF(((60 - J3) / (1 - K3)) &gt; 100, "Unattainable", IF(((60 - J3) / (1 - K3)) &lt; 0, "Already attained", ((60 - J3) / (1 - K3))))), "-")</f>
        <v>Completed module</v>
      </c>
      <c r="O3" s="69" t="str">
        <f>IFERROR(IF(K3 = 1, "Completed module", IF(((50 - J3) / (1 - K3)) &gt; 100, "Unattainable", IF(((50 - J3) / (1 - K3)) &lt; 0, "Already attained", ((50 - J3) / (1 - K3))))), "-")</f>
        <v>Completed module</v>
      </c>
      <c r="P3" s="71" t="str">
        <f>IFERROR(IF(K3 = 1, "Completed module", IF(((40 - J3) / (1 - K3)) &gt; 100, "Unattainable", IF(((40 - J3) / (1 - K3)) &lt; 0, "Already attained", ((40 - J3) / (1 - K3))))), "-")</f>
        <v>Completed module</v>
      </c>
    </row>
    <row r="4" spans="1:16">
      <c r="A4" s="112"/>
      <c r="B4" s="109"/>
      <c r="C4" s="106"/>
      <c r="D4" s="357"/>
      <c r="E4" s="116"/>
      <c r="F4" s="23" t="s">
        <v>201</v>
      </c>
      <c r="G4" s="53">
        <v>0.2</v>
      </c>
      <c r="H4" s="24" t="s">
        <v>379</v>
      </c>
      <c r="I4" s="11">
        <v>70</v>
      </c>
      <c r="J4" s="73"/>
      <c r="K4" s="73"/>
      <c r="L4" s="73"/>
      <c r="M4" s="73"/>
      <c r="N4" s="73"/>
      <c r="O4" s="73"/>
      <c r="P4" s="75"/>
    </row>
    <row r="5" spans="1:16" ht="13.8" thickBot="1">
      <c r="A5" s="113"/>
      <c r="B5" s="110"/>
      <c r="C5" s="107"/>
      <c r="D5" s="358"/>
      <c r="E5" s="117"/>
      <c r="F5" s="41" t="s">
        <v>199</v>
      </c>
      <c r="G5" s="54">
        <v>0.7</v>
      </c>
      <c r="H5" s="42" t="s">
        <v>15</v>
      </c>
      <c r="I5" s="22">
        <v>87</v>
      </c>
      <c r="J5" s="74"/>
      <c r="K5" s="74"/>
      <c r="L5" s="74"/>
      <c r="M5" s="74"/>
      <c r="N5" s="74"/>
      <c r="O5" s="74"/>
      <c r="P5" s="76"/>
    </row>
    <row r="6" spans="1:16" ht="13.8" thickTop="1"/>
    <row r="7" spans="1:16" ht="13.8" thickBot="1">
      <c r="A7" s="103" t="s">
        <v>370</v>
      </c>
      <c r="B7" s="104"/>
    </row>
    <row r="8" spans="1:16" ht="14.4" thickTop="1" thickBot="1">
      <c r="A8" s="56" t="s">
        <v>65</v>
      </c>
      <c r="B8" s="57" t="s">
        <v>1</v>
      </c>
      <c r="C8" s="28" t="s">
        <v>0</v>
      </c>
      <c r="D8" s="28" t="s">
        <v>91</v>
      </c>
      <c r="E8" s="28" t="s">
        <v>92</v>
      </c>
      <c r="F8" s="114" t="s">
        <v>224</v>
      </c>
      <c r="G8" s="114"/>
      <c r="H8" s="114"/>
      <c r="I8" s="28" t="s">
        <v>2</v>
      </c>
      <c r="J8" s="28" t="s">
        <v>3</v>
      </c>
      <c r="K8" s="28" t="s">
        <v>4</v>
      </c>
      <c r="L8" s="28" t="s">
        <v>5</v>
      </c>
      <c r="M8" s="28" t="s">
        <v>193</v>
      </c>
      <c r="N8" s="28" t="s">
        <v>7</v>
      </c>
      <c r="O8" s="28" t="s">
        <v>194</v>
      </c>
      <c r="P8" s="29" t="s">
        <v>195</v>
      </c>
    </row>
    <row r="9" spans="1:16" ht="53.4" customHeight="1" thickTop="1" thickBot="1">
      <c r="A9" s="227" t="s">
        <v>376</v>
      </c>
      <c r="B9" s="228" t="s">
        <v>377</v>
      </c>
      <c r="C9" s="229">
        <v>5</v>
      </c>
      <c r="D9" s="305">
        <v>8.3299999999999999E-2</v>
      </c>
      <c r="E9" s="230">
        <v>0.4</v>
      </c>
      <c r="F9" s="306" t="s">
        <v>150</v>
      </c>
      <c r="G9" s="315">
        <v>1</v>
      </c>
      <c r="H9" s="306" t="s">
        <v>209</v>
      </c>
      <c r="I9" s="233">
        <v>60</v>
      </c>
      <c r="J9" s="234">
        <f>IF(G9=1, I9, SUMPRODUCT(I9:I9, G9:G9))</f>
        <v>60</v>
      </c>
      <c r="K9" s="234">
        <f>SUMIF(I9:I9, "&lt;&gt;", G9:G9) / SUMIF(G9:G9, "&lt;&gt;")</f>
        <v>1</v>
      </c>
      <c r="L9" s="234">
        <f>IFERROR(J9/K9, "No grades yet")</f>
        <v>60</v>
      </c>
      <c r="M9" s="234" t="str">
        <f>IFERROR(IF(K9 = 1, "Completed module", IF(((70 - J9) / (1 - K9)) &gt; 100, "Unattainable", IF(((70 - J9) / (1 - K9)) &lt; 0, "Already attained", ((70 - J9) / (1 - K9))))), "-")</f>
        <v>Completed module</v>
      </c>
      <c r="N9" s="234" t="str">
        <f>IFERROR(IF(K9 = 1, "Completed module", IF(((60 - J9) / (1 - K9)) &gt; 100, "Unattainable", IF(((60 - J9) / (1 - K9)) &lt; 0, "Already attained", ((60 - J9) / (1 - K9))))), "-")</f>
        <v>Completed module</v>
      </c>
      <c r="O9" s="234" t="str">
        <f>IFERROR(IF(K9 = 1, "Completed module", IF(((50 - J9) / (1 - K9)) &gt; 100, "Unattainable", IF(((50 - J9) / (1 - K9)) &lt; 0, "Already attained", ((50 - J9) / (1 - K9))))), "-")</f>
        <v>Completed module</v>
      </c>
      <c r="P9" s="235" t="str">
        <f>IFERROR(IF(K9 = 1, "Completed module", IF(((40 - J9) / (1 - K9)) &gt; 100, "Unattainable", IF(((40 - J9) / (1 - K9)) &lt; 0, "Already attained", ((40 - J9) / (1 - K9))))), "-")</f>
        <v>Completed module</v>
      </c>
    </row>
    <row r="10" spans="1:16" ht="13.8" thickTop="1">
      <c r="A10" s="204" t="s">
        <v>380</v>
      </c>
      <c r="B10" s="201" t="s">
        <v>381</v>
      </c>
      <c r="C10" s="194">
        <v>5</v>
      </c>
      <c r="D10" s="300">
        <v>8.3299999999999999E-2</v>
      </c>
      <c r="E10" s="195">
        <v>0.5</v>
      </c>
      <c r="F10" s="196" t="s">
        <v>199</v>
      </c>
      <c r="G10" s="214">
        <v>0.1</v>
      </c>
      <c r="H10" s="196" t="s">
        <v>382</v>
      </c>
      <c r="I10" s="186">
        <v>43</v>
      </c>
      <c r="J10" s="158">
        <f>IF(G10=1, I10, SUMPRODUCT(I10:I17, G10:G17))</f>
        <v>49.2</v>
      </c>
      <c r="K10" s="158">
        <f>SUMIF(I10:I17, "&lt;&gt;", G10:G17) / SUMIF(G10:G17, "&lt;&gt;")</f>
        <v>1</v>
      </c>
      <c r="L10" s="158">
        <f>IFERROR(J10/K10, "No grades yet")</f>
        <v>49.2</v>
      </c>
      <c r="M10" s="158" t="str">
        <f>IFERROR(IF(K10 = 1, "Completed module", IF(((70 - J10) / (1 - K10)) &gt; 100, "Unattainable", IF(((70 - J10) / (1 - K10)) &lt; 0, "Already attained", ((70 - J10) / (1 - K10))))), "-")</f>
        <v>Completed module</v>
      </c>
      <c r="N10" s="158" t="str">
        <f>IFERROR(IF(K10 = 1, "Completed module", IF(((60 - J10) / (1 - K10)) &gt; 100, "Unattainable", IF(((60 - J10) / (1 - K10)) &lt; 0, "Already attained", ((60 - J10) / (1 - K10))))), "-")</f>
        <v>Completed module</v>
      </c>
      <c r="O10" s="158" t="str">
        <f>IFERROR(IF(K10 = 1, "Completed module", IF(((50 - J10) / (1 - K10)) &gt; 100, "Unattainable", IF(((50 - J10) / (1 - K10)) &lt; 0, "Already attained", ((50 - J10) / (1 - K10))))), "-")</f>
        <v>Completed module</v>
      </c>
      <c r="P10" s="166" t="str">
        <f>IFERROR(IF(K10 = 1, "Completed module", IF(((40 - J10) / (1 - K10)) &gt; 100, "Unattainable", IF(((40 - J10) / (1 - K10)) &lt; 0, "Already attained", ((40 - J10) / (1 - K10))))), "-")</f>
        <v>Completed module</v>
      </c>
    </row>
    <row r="11" spans="1:16">
      <c r="A11" s="205"/>
      <c r="B11" s="202"/>
      <c r="C11" s="191"/>
      <c r="D11" s="299"/>
      <c r="E11" s="192"/>
      <c r="F11" s="193" t="s">
        <v>201</v>
      </c>
      <c r="G11" s="213">
        <v>0.1</v>
      </c>
      <c r="H11" s="193" t="s">
        <v>383</v>
      </c>
      <c r="I11" s="185">
        <v>76</v>
      </c>
      <c r="J11" s="148"/>
      <c r="K11" s="148"/>
      <c r="L11" s="148"/>
      <c r="M11" s="148"/>
      <c r="N11" s="148"/>
      <c r="O11" s="148"/>
      <c r="P11" s="167"/>
    </row>
    <row r="12" spans="1:16">
      <c r="A12" s="205"/>
      <c r="B12" s="202"/>
      <c r="C12" s="191"/>
      <c r="D12" s="299"/>
      <c r="E12" s="192"/>
      <c r="F12" s="193" t="s">
        <v>199</v>
      </c>
      <c r="G12" s="213">
        <v>0.1</v>
      </c>
      <c r="H12" s="193" t="s">
        <v>384</v>
      </c>
      <c r="I12" s="185">
        <v>74</v>
      </c>
      <c r="J12" s="148"/>
      <c r="K12" s="148"/>
      <c r="L12" s="148"/>
      <c r="M12" s="148"/>
      <c r="N12" s="148"/>
      <c r="O12" s="148"/>
      <c r="P12" s="167"/>
    </row>
    <row r="13" spans="1:16">
      <c r="A13" s="205"/>
      <c r="B13" s="202"/>
      <c r="C13" s="191"/>
      <c r="D13" s="299"/>
      <c r="E13" s="192"/>
      <c r="F13" s="193" t="s">
        <v>199</v>
      </c>
      <c r="G13" s="213">
        <v>0.1</v>
      </c>
      <c r="H13" s="193" t="s">
        <v>385</v>
      </c>
      <c r="I13" s="185">
        <v>98</v>
      </c>
      <c r="J13" s="148"/>
      <c r="K13" s="148"/>
      <c r="L13" s="148"/>
      <c r="M13" s="148"/>
      <c r="N13" s="148"/>
      <c r="O13" s="148"/>
      <c r="P13" s="167"/>
    </row>
    <row r="14" spans="1:16">
      <c r="A14" s="205"/>
      <c r="B14" s="202"/>
      <c r="C14" s="191"/>
      <c r="D14" s="299"/>
      <c r="E14" s="192"/>
      <c r="F14" s="193" t="s">
        <v>199</v>
      </c>
      <c r="G14" s="213">
        <v>0.1</v>
      </c>
      <c r="H14" s="193" t="s">
        <v>386</v>
      </c>
      <c r="I14" s="185">
        <v>20</v>
      </c>
      <c r="J14" s="148"/>
      <c r="K14" s="148"/>
      <c r="L14" s="148"/>
      <c r="M14" s="148"/>
      <c r="N14" s="148"/>
      <c r="O14" s="148"/>
      <c r="P14" s="167"/>
    </row>
    <row r="15" spans="1:16" ht="29.4" customHeight="1">
      <c r="A15" s="205"/>
      <c r="B15" s="202"/>
      <c r="C15" s="191"/>
      <c r="D15" s="299"/>
      <c r="E15" s="192"/>
      <c r="F15" s="193" t="s">
        <v>199</v>
      </c>
      <c r="G15" s="213">
        <v>0.1</v>
      </c>
      <c r="H15" s="193" t="s">
        <v>387</v>
      </c>
      <c r="I15" s="185">
        <v>42</v>
      </c>
      <c r="J15" s="148"/>
      <c r="K15" s="148"/>
      <c r="L15" s="148"/>
      <c r="M15" s="148"/>
      <c r="N15" s="148"/>
      <c r="O15" s="148"/>
      <c r="P15" s="167"/>
    </row>
    <row r="16" spans="1:16">
      <c r="A16" s="205"/>
      <c r="B16" s="202"/>
      <c r="C16" s="191"/>
      <c r="D16" s="299"/>
      <c r="E16" s="192"/>
      <c r="F16" s="193" t="s">
        <v>201</v>
      </c>
      <c r="G16" s="213">
        <v>0.1</v>
      </c>
      <c r="H16" s="193" t="s">
        <v>388</v>
      </c>
      <c r="I16" s="185">
        <v>10</v>
      </c>
      <c r="J16" s="148"/>
      <c r="K16" s="148"/>
      <c r="L16" s="148"/>
      <c r="M16" s="148"/>
      <c r="N16" s="148"/>
      <c r="O16" s="148"/>
      <c r="P16" s="167"/>
    </row>
    <row r="17" spans="1:16" ht="13.8" thickBot="1">
      <c r="A17" s="207"/>
      <c r="B17" s="208"/>
      <c r="C17" s="209"/>
      <c r="D17" s="301"/>
      <c r="E17" s="210"/>
      <c r="F17" s="211" t="s">
        <v>201</v>
      </c>
      <c r="G17" s="216">
        <v>0.3</v>
      </c>
      <c r="H17" s="211" t="s">
        <v>389</v>
      </c>
      <c r="I17" s="212">
        <v>43</v>
      </c>
      <c r="J17" s="183"/>
      <c r="K17" s="183"/>
      <c r="L17" s="183"/>
      <c r="M17" s="183"/>
      <c r="N17" s="183"/>
      <c r="O17" s="183"/>
      <c r="P17" s="184"/>
    </row>
    <row r="18" spans="1:16" ht="27" customHeight="1" thickTop="1">
      <c r="A18" s="204" t="s">
        <v>390</v>
      </c>
      <c r="B18" s="201" t="s">
        <v>391</v>
      </c>
      <c r="C18" s="194">
        <v>5</v>
      </c>
      <c r="D18" s="300">
        <v>8.3299999999999999E-2</v>
      </c>
      <c r="E18" s="195">
        <v>0.5</v>
      </c>
      <c r="F18" s="196" t="s">
        <v>201</v>
      </c>
      <c r="G18" s="214">
        <v>0.2</v>
      </c>
      <c r="H18" s="196" t="s">
        <v>392</v>
      </c>
      <c r="I18" s="186"/>
      <c r="J18" s="158">
        <f>IF(G18=1, I18, SUMPRODUCT(I18:I21, G18:G21))</f>
        <v>0</v>
      </c>
      <c r="K18" s="158">
        <f>SUMIF(I18:I21, "&lt;&gt;", G18:G21) / SUMIF(G18:G21, "&lt;&gt;")</f>
        <v>0</v>
      </c>
      <c r="L18" s="158" t="str">
        <f>IFERROR(J18/K18, "No grades yet")</f>
        <v>No grades yet</v>
      </c>
      <c r="M18" s="158">
        <f>IFERROR(IF(K18 = 1, "Completed module", IF(((70 - J18) / (1 - K18)) &gt; 100, "Unattainable", IF(((70 - J18) / (1 - K18)) &lt; 0, "Already attained", ((70 - J18) / (1 - K18))))), "-")</f>
        <v>70</v>
      </c>
      <c r="N18" s="158">
        <f>IFERROR(IF(K18 = 1, "Completed module", IF(((60 - J18) / (1 - K18)) &gt; 100, "Unattainable", IF(((60 - J18) / (1 - K18)) &lt; 0, "Already attained", ((60 - J18) / (1 - K18))))), "-")</f>
        <v>60</v>
      </c>
      <c r="O18" s="158">
        <f>IFERROR(IF(K18 = 1, "Completed module", IF(((50 - J18) / (1 - K18)) &gt; 100, "Unattainable", IF(((50 - J18) / (1 - K18)) &lt; 0, "Already attained", ((50 - J18) / (1 - K18))))), "-")</f>
        <v>50</v>
      </c>
      <c r="P18" s="166">
        <f>IFERROR(IF(K18 = 1, "Completed module", IF(((40 - J18) / (1 - K18)) &gt; 100, "Unattainable", IF(((40 - J18) / (1 - K18)) &lt; 0, "Already attained", ((40 - J18) / (1 - K18))))), "-")</f>
        <v>40</v>
      </c>
    </row>
    <row r="19" spans="1:16" ht="39.6" customHeight="1">
      <c r="A19" s="205"/>
      <c r="B19" s="202"/>
      <c r="C19" s="191"/>
      <c r="D19" s="299"/>
      <c r="E19" s="192"/>
      <c r="F19" s="193" t="s">
        <v>337</v>
      </c>
      <c r="G19" s="213">
        <v>0.5</v>
      </c>
      <c r="H19" s="193" t="s">
        <v>393</v>
      </c>
      <c r="I19" s="185"/>
      <c r="J19" s="148"/>
      <c r="K19" s="148"/>
      <c r="L19" s="148"/>
      <c r="M19" s="148"/>
      <c r="N19" s="148"/>
      <c r="O19" s="148"/>
      <c r="P19" s="167"/>
    </row>
    <row r="20" spans="1:16">
      <c r="A20" s="205"/>
      <c r="B20" s="202"/>
      <c r="C20" s="191"/>
      <c r="D20" s="299"/>
      <c r="E20" s="192"/>
      <c r="F20" s="193" t="s">
        <v>199</v>
      </c>
      <c r="G20" s="213">
        <v>0.15</v>
      </c>
      <c r="H20" s="193" t="s">
        <v>394</v>
      </c>
      <c r="I20" s="185"/>
      <c r="J20" s="148"/>
      <c r="K20" s="148"/>
      <c r="L20" s="148"/>
      <c r="M20" s="148"/>
      <c r="N20" s="148"/>
      <c r="O20" s="148"/>
      <c r="P20" s="167"/>
    </row>
    <row r="21" spans="1:16" ht="13.8" thickBot="1">
      <c r="A21" s="207"/>
      <c r="B21" s="208"/>
      <c r="C21" s="209"/>
      <c r="D21" s="301"/>
      <c r="E21" s="210"/>
      <c r="F21" s="211" t="s">
        <v>199</v>
      </c>
      <c r="G21" s="216">
        <v>0.15</v>
      </c>
      <c r="H21" s="211" t="s">
        <v>395</v>
      </c>
      <c r="I21" s="212"/>
      <c r="J21" s="183"/>
      <c r="K21" s="183"/>
      <c r="L21" s="183"/>
      <c r="M21" s="183"/>
      <c r="N21" s="183"/>
      <c r="O21" s="183"/>
      <c r="P21" s="184"/>
    </row>
    <row r="22" spans="1:16" ht="40.799999999999997" thickTop="1" thickBot="1">
      <c r="A22" s="227" t="s">
        <v>396</v>
      </c>
      <c r="B22" s="228" t="s">
        <v>397</v>
      </c>
      <c r="C22" s="229">
        <v>5</v>
      </c>
      <c r="D22" s="305">
        <v>8.3299999999999999E-2</v>
      </c>
      <c r="E22" s="230">
        <v>0.5</v>
      </c>
      <c r="F22" s="306" t="s">
        <v>150</v>
      </c>
      <c r="G22" s="315">
        <v>1</v>
      </c>
      <c r="H22" s="306" t="s">
        <v>209</v>
      </c>
      <c r="I22" s="233"/>
      <c r="J22" s="234">
        <f>IF(G22=1, I22, SUMPRODUCT(I22:I22, G22:G22))</f>
        <v>0</v>
      </c>
      <c r="K22" s="234">
        <f>SUMIF(I22:I22, "&lt;&gt;", G22:G22) / SUMIF(G22:G22, "&lt;&gt;")</f>
        <v>0</v>
      </c>
      <c r="L22" s="234" t="str">
        <f>IFERROR(J22/K22, "No grades yet")</f>
        <v>No grades yet</v>
      </c>
      <c r="M22" s="234">
        <f>IFERROR(IF(K22 = 1, "Completed module", IF(((70 - J22) / (1 - K22)) &gt; 100, "Unattainable", IF(((70 - J22) / (1 - K22)) &lt; 0, "Already attained", ((70 - J22) / (1 - K22))))), "-")</f>
        <v>70</v>
      </c>
      <c r="N22" s="234">
        <f>IFERROR(IF(K22 = 1, "Completed module", IF(((60 - J22) / (1 - K22)) &gt; 100, "Unattainable", IF(((60 - J22) / (1 - K22)) &lt; 0, "Already attained", ((60 - J22) / (1 - K22))))), "-")</f>
        <v>60</v>
      </c>
      <c r="O22" s="234">
        <f>IFERROR(IF(K22 = 1, "Completed module", IF(((50 - J22) / (1 - K22)) &gt; 100, "Unattainable", IF(((50 - J22) / (1 - K22)) &lt; 0, "Already attained", ((50 - J22) / (1 - K22))))), "-")</f>
        <v>50</v>
      </c>
      <c r="P22" s="235">
        <f>IFERROR(IF(K22 = 1, "Completed module", IF(((40 - J22) / (1 - K22)) &gt; 100, "Unattainable", IF(((40 - J22) / (1 - K22)) &lt; 0, "Already attained", ((40 - J22) / (1 - K22))))), "-")</f>
        <v>40</v>
      </c>
    </row>
    <row r="23" spans="1:16" ht="36.6" customHeight="1" thickTop="1" thickBot="1">
      <c r="A23" s="227" t="s">
        <v>398</v>
      </c>
      <c r="B23" s="228" t="s">
        <v>399</v>
      </c>
      <c r="C23" s="229">
        <v>5</v>
      </c>
      <c r="D23" s="305">
        <v>8.3299999999999999E-2</v>
      </c>
      <c r="E23" s="230">
        <v>0.5</v>
      </c>
      <c r="F23" s="306" t="s">
        <v>150</v>
      </c>
      <c r="G23" s="315">
        <v>1</v>
      </c>
      <c r="H23" s="306" t="s">
        <v>209</v>
      </c>
      <c r="I23" s="233"/>
      <c r="J23" s="234">
        <f>IF(G23=1, I23, SUMPRODUCT(I23:I23, G23:G23))</f>
        <v>0</v>
      </c>
      <c r="K23" s="234">
        <f>SUMIF(I23:I23, "&lt;&gt;", G23:G23) / SUMIF(G23:G23, "&lt;&gt;")</f>
        <v>0</v>
      </c>
      <c r="L23" s="234" t="str">
        <f>IFERROR(J23/K23, "No grades yet")</f>
        <v>No grades yet</v>
      </c>
      <c r="M23" s="234">
        <f>IFERROR(IF(K23 = 1, "Completed module", IF(((70 - J23) / (1 - K23)) &gt; 100, "Unattainable", IF(((70 - J23) / (1 - K23)) &lt; 0, "Already attained", ((70 - J23) / (1 - K23))))), "-")</f>
        <v>70</v>
      </c>
      <c r="N23" s="234">
        <f>IFERROR(IF(K23 = 1, "Completed module", IF(((60 - J23) / (1 - K23)) &gt; 100, "Unattainable", IF(((60 - J23) / (1 - K23)) &lt; 0, "Already attained", ((60 - J23) / (1 - K23))))), "-")</f>
        <v>60</v>
      </c>
      <c r="O23" s="234">
        <f>IFERROR(IF(K23 = 1, "Completed module", IF(((50 - J23) / (1 - K23)) &gt; 100, "Unattainable", IF(((50 - J23) / (1 - K23)) &lt; 0, "Already attained", ((50 - J23) / (1 - K23))))), "-")</f>
        <v>50</v>
      </c>
      <c r="P23" s="235">
        <f>IFERROR(IF(K23 = 1, "Completed module", IF(((40 - J23) / (1 - K23)) &gt; 100, "Unattainable", IF(((40 - J23) / (1 - K23)) &lt; 0, "Already attained", ((40 - J23) / (1 - K23))))), "-")</f>
        <v>40</v>
      </c>
    </row>
    <row r="24" spans="1:16" ht="14.4" thickTop="1" thickBot="1">
      <c r="A24" s="227" t="s">
        <v>400</v>
      </c>
      <c r="B24" s="228" t="s">
        <v>401</v>
      </c>
      <c r="C24" s="229">
        <v>5</v>
      </c>
      <c r="D24" s="305">
        <v>8.3299999999999999E-2</v>
      </c>
      <c r="E24" s="230">
        <v>0.5</v>
      </c>
      <c r="F24" s="306" t="s">
        <v>150</v>
      </c>
      <c r="G24" s="315">
        <v>1</v>
      </c>
      <c r="H24" s="306" t="s">
        <v>209</v>
      </c>
      <c r="I24" s="233"/>
      <c r="J24" s="234">
        <f>IF(G24=1, I24, SUMPRODUCT(I24:I24, G24:G24))</f>
        <v>0</v>
      </c>
      <c r="K24" s="234">
        <f>SUMIF(I24:I24, "&lt;&gt;", G24:G24) / SUMIF(G24:G24, "&lt;&gt;")</f>
        <v>0</v>
      </c>
      <c r="L24" s="234" t="str">
        <f>IFERROR(J24/K24, "No grades yet")</f>
        <v>No grades yet</v>
      </c>
      <c r="M24" s="234">
        <f>IFERROR(IF(K24 = 1, "Completed module", IF(((70 - J24) / (1 - K24)) &gt; 100, "Unattainable", IF(((70 - J24) / (1 - K24)) &lt; 0, "Already attained", ((70 - J24) / (1 - K24))))), "-")</f>
        <v>70</v>
      </c>
      <c r="N24" s="234">
        <f>IFERROR(IF(K24 = 1, "Completed module", IF(((60 - J24) / (1 - K24)) &gt; 100, "Unattainable", IF(((60 - J24) / (1 - K24)) &lt; 0, "Already attained", ((60 - J24) / (1 - K24))))), "-")</f>
        <v>60</v>
      </c>
      <c r="O24" s="234">
        <f>IFERROR(IF(K24 = 1, "Completed module", IF(((50 - J24) / (1 - K24)) &gt; 100, "Unattainable", IF(((50 - J24) / (1 - K24)) &lt; 0, "Already attained", ((50 - J24) / (1 - K24))))), "-")</f>
        <v>50</v>
      </c>
      <c r="P24" s="235">
        <f>IFERROR(IF(K24 = 1, "Completed module", IF(((40 - J24) / (1 - K24)) &gt; 100, "Unattainable", IF(((40 - J24) / (1 - K24)) &lt; 0, "Already attained", ((40 - J24) / (1 - K24))))), "-")</f>
        <v>40</v>
      </c>
    </row>
    <row r="25" spans="1:16" ht="23.4" customHeight="1" thickTop="1">
      <c r="A25" s="204" t="s">
        <v>402</v>
      </c>
      <c r="B25" s="201" t="s">
        <v>403</v>
      </c>
      <c r="C25" s="194">
        <v>5</v>
      </c>
      <c r="D25" s="300">
        <v>8.3299999999999999E-2</v>
      </c>
      <c r="E25" s="195">
        <v>0.5</v>
      </c>
      <c r="F25" s="196" t="s">
        <v>150</v>
      </c>
      <c r="G25" s="214">
        <v>0.6</v>
      </c>
      <c r="H25" s="196" t="s">
        <v>209</v>
      </c>
      <c r="I25" s="186"/>
      <c r="J25" s="158">
        <f>IF(G25=1, I25, SUMPRODUCT(I25:I26, G25:G26))</f>
        <v>0</v>
      </c>
      <c r="K25" s="158">
        <f>SUMIF(I25:I26, "&lt;&gt;", G25:G26) / SUMIF(G25:G26, "&lt;&gt;")</f>
        <v>0</v>
      </c>
      <c r="L25" s="158" t="str">
        <f>IFERROR(J25/K25, "No grades yet")</f>
        <v>No grades yet</v>
      </c>
      <c r="M25" s="158">
        <f>IFERROR(IF(K25 = 1, "Completed module", IF(((70 - J25) / (1 - K25)) &gt; 100, "Unattainable", IF(((70 - J25) / (1 - K25)) &lt; 0, "Already attained", ((70 - J25) / (1 - K25))))), "-")</f>
        <v>70</v>
      </c>
      <c r="N25" s="158">
        <f>IFERROR(IF(K25 = 1, "Completed module", IF(((60 - J25) / (1 - K25)) &gt; 100, "Unattainable", IF(((60 - J25) / (1 - K25)) &lt; 0, "Already attained", ((60 - J25) / (1 - K25))))), "-")</f>
        <v>60</v>
      </c>
      <c r="O25" s="158">
        <f>IFERROR(IF(K25 = 1, "Completed module", IF(((50 - J25) / (1 - K25)) &gt; 100, "Unattainable", IF(((50 - J25) / (1 - K25)) &lt; 0, "Already attained", ((50 - J25) / (1 - K25))))), "-")</f>
        <v>50</v>
      </c>
      <c r="P25" s="166">
        <f>IFERROR(IF(K25 = 1, "Completed module", IF(((40 - J25) / (1 - K25)) &gt; 100, "Unattainable", IF(((40 - J25) / (1 - K25)) &lt; 0, "Already attained", ((40 - J25) / (1 - K25))))), "-")</f>
        <v>40</v>
      </c>
    </row>
    <row r="26" spans="1:16" ht="13.8" thickBot="1">
      <c r="A26" s="207"/>
      <c r="B26" s="208"/>
      <c r="C26" s="209"/>
      <c r="D26" s="301"/>
      <c r="E26" s="210"/>
      <c r="F26" s="211" t="s">
        <v>201</v>
      </c>
      <c r="G26" s="216">
        <v>0.4</v>
      </c>
      <c r="H26" s="211" t="s">
        <v>201</v>
      </c>
      <c r="I26" s="212"/>
      <c r="J26" s="183"/>
      <c r="K26" s="183"/>
      <c r="L26" s="183"/>
      <c r="M26" s="183"/>
      <c r="N26" s="183"/>
      <c r="O26" s="183"/>
      <c r="P26" s="184"/>
    </row>
    <row r="27" spans="1:16" ht="23.4" customHeight="1" thickTop="1">
      <c r="A27" s="204" t="s">
        <v>404</v>
      </c>
      <c r="B27" s="201" t="s">
        <v>405</v>
      </c>
      <c r="C27" s="194">
        <v>5</v>
      </c>
      <c r="D27" s="300">
        <v>8.3299999999999999E-2</v>
      </c>
      <c r="E27" s="195">
        <v>0.5</v>
      </c>
      <c r="F27" s="196" t="s">
        <v>150</v>
      </c>
      <c r="G27" s="214">
        <v>0.6</v>
      </c>
      <c r="H27" s="196" t="s">
        <v>209</v>
      </c>
      <c r="I27" s="186"/>
      <c r="J27" s="158">
        <f>IF(G27=1, I27, SUMPRODUCT(I27:I28, G27:G28))</f>
        <v>0</v>
      </c>
      <c r="K27" s="158">
        <f>SUMIF(I27:I28, "&lt;&gt;", G27:G28) / SUMIF(G27:G28, "&lt;&gt;")</f>
        <v>0</v>
      </c>
      <c r="L27" s="158" t="str">
        <f>IFERROR(J27/K27, "No grades yet")</f>
        <v>No grades yet</v>
      </c>
      <c r="M27" s="158">
        <f>IFERROR(IF(K27 = 1, "Completed module", IF(((70 - J27) / (1 - K27)) &gt; 100, "Unattainable", IF(((70 - J27) / (1 - K27)) &lt; 0, "Already attained", ((70 - J27) / (1 - K27))))), "-")</f>
        <v>70</v>
      </c>
      <c r="N27" s="158">
        <f>IFERROR(IF(K27 = 1, "Completed module", IF(((60 - J27) / (1 - K27)) &gt; 100, "Unattainable", IF(((60 - J27) / (1 - K27)) &lt; 0, "Already attained", ((60 - J27) / (1 - K27))))), "-")</f>
        <v>60</v>
      </c>
      <c r="O27" s="158">
        <f>IFERROR(IF(K27 = 1, "Completed module", IF(((50 - J27) / (1 - K27)) &gt; 100, "Unattainable", IF(((50 - J27) / (1 - K27)) &lt; 0, "Already attained", ((50 - J27) / (1 - K27))))), "-")</f>
        <v>50</v>
      </c>
      <c r="P27" s="166">
        <f>IFERROR(IF(K27 = 1, "Completed module", IF(((40 - J27) / (1 - K27)) &gt; 100, "Unattainable", IF(((40 - J27) / (1 - K27)) &lt; 0, "Already attained", ((40 - J27) / (1 - K27))))), "-")</f>
        <v>40</v>
      </c>
    </row>
    <row r="28" spans="1:16" ht="13.8" thickBot="1">
      <c r="A28" s="207"/>
      <c r="B28" s="208"/>
      <c r="C28" s="209"/>
      <c r="D28" s="301"/>
      <c r="E28" s="210"/>
      <c r="F28" s="211" t="s">
        <v>199</v>
      </c>
      <c r="G28" s="216">
        <v>0.4</v>
      </c>
      <c r="H28" s="211" t="s">
        <v>406</v>
      </c>
      <c r="I28" s="212"/>
      <c r="J28" s="183"/>
      <c r="K28" s="183"/>
      <c r="L28" s="183"/>
      <c r="M28" s="183"/>
      <c r="N28" s="183"/>
      <c r="O28" s="183"/>
      <c r="P28" s="184"/>
    </row>
    <row r="29" spans="1:16" ht="13.8" thickTop="1">
      <c r="A29" s="204" t="s">
        <v>345</v>
      </c>
      <c r="B29" s="201" t="s">
        <v>346</v>
      </c>
      <c r="C29" s="194">
        <v>5</v>
      </c>
      <c r="D29" s="300">
        <v>8.3299999999999999E-2</v>
      </c>
      <c r="E29" s="195">
        <v>0.5</v>
      </c>
      <c r="F29" s="196" t="s">
        <v>201</v>
      </c>
      <c r="G29" s="214">
        <v>0.2</v>
      </c>
      <c r="H29" s="196" t="s">
        <v>347</v>
      </c>
      <c r="I29" s="186"/>
      <c r="J29" s="158">
        <f>IF(G29=1, I29, SUMPRODUCT(I29:I30, G29:G30))</f>
        <v>0</v>
      </c>
      <c r="K29" s="158">
        <f>SUMIF(I29:I30, "&lt;&gt;", G29:G30) / SUMIF(G29:G30, "&lt;&gt;")</f>
        <v>0</v>
      </c>
      <c r="L29" s="158" t="str">
        <f>IFERROR(J29/K29, "No grades yet")</f>
        <v>No grades yet</v>
      </c>
      <c r="M29" s="158">
        <f>IFERROR(IF(K29 = 1, "Completed module", IF(((70 - J29) / (1 - K29)) &gt; 100, "Unattainable", IF(((70 - J29) / (1 - K29)) &lt; 0, "Already attained", ((70 - J29) / (1 - K29))))), "-")</f>
        <v>70</v>
      </c>
      <c r="N29" s="158">
        <f>IFERROR(IF(K29 = 1, "Completed module", IF(((60 - J29) / (1 - K29)) &gt; 100, "Unattainable", IF(((60 - J29) / (1 - K29)) &lt; 0, "Already attained", ((60 - J29) / (1 - K29))))), "-")</f>
        <v>60</v>
      </c>
      <c r="O29" s="158">
        <f>IFERROR(IF(K29 = 1, "Completed module", IF(((50 - J29) / (1 - K29)) &gt; 100, "Unattainable", IF(((50 - J29) / (1 - K29)) &lt; 0, "Already attained", ((50 - J29) / (1 - K29))))), "-")</f>
        <v>50</v>
      </c>
      <c r="P29" s="166">
        <f>IFERROR(IF(K29 = 1, "Completed module", IF(((40 - J29) / (1 - K29)) &gt; 100, "Unattainable", IF(((40 - J29) / (1 - K29)) &lt; 0, "Already attained", ((40 - J29) / (1 - K29))))), "-")</f>
        <v>40</v>
      </c>
    </row>
    <row r="30" spans="1:16" ht="22.8" customHeight="1" thickBot="1">
      <c r="A30" s="207"/>
      <c r="B30" s="208"/>
      <c r="C30" s="209"/>
      <c r="D30" s="301"/>
      <c r="E30" s="210"/>
      <c r="F30" s="211" t="s">
        <v>337</v>
      </c>
      <c r="G30" s="216">
        <v>0.8</v>
      </c>
      <c r="H30" s="211" t="s">
        <v>348</v>
      </c>
      <c r="I30" s="212"/>
      <c r="J30" s="183"/>
      <c r="K30" s="183"/>
      <c r="L30" s="183"/>
      <c r="M30" s="183"/>
      <c r="N30" s="183"/>
      <c r="O30" s="183"/>
      <c r="P30" s="184"/>
    </row>
    <row r="31" spans="1:16" ht="23.4" customHeight="1" thickTop="1">
      <c r="A31" s="204" t="s">
        <v>407</v>
      </c>
      <c r="B31" s="201" t="s">
        <v>408</v>
      </c>
      <c r="C31" s="194">
        <v>5</v>
      </c>
      <c r="D31" s="300">
        <v>8.3299999999999999E-2</v>
      </c>
      <c r="E31" s="195">
        <v>0.5</v>
      </c>
      <c r="F31" s="196" t="s">
        <v>150</v>
      </c>
      <c r="G31" s="214">
        <v>0.8</v>
      </c>
      <c r="H31" s="196" t="s">
        <v>209</v>
      </c>
      <c r="I31" s="186"/>
      <c r="J31" s="158">
        <f>IF(G31=1, I31, SUMPRODUCT(I31:I32, G31:G32))</f>
        <v>0</v>
      </c>
      <c r="K31" s="158">
        <f>SUMIF(I31:I32, "&lt;&gt;", G31:G32) / SUMIF(G31:G32, "&lt;&gt;")</f>
        <v>0</v>
      </c>
      <c r="L31" s="158" t="str">
        <f>IFERROR(J31/K31, "No grades yet")</f>
        <v>No grades yet</v>
      </c>
      <c r="M31" s="158">
        <f>IFERROR(IF(K31 = 1, "Completed module", IF(((70 - J31) / (1 - K31)) &gt; 100, "Unattainable", IF(((70 - J31) / (1 - K31)) &lt; 0, "Already attained", ((70 - J31) / (1 - K31))))), "-")</f>
        <v>70</v>
      </c>
      <c r="N31" s="158">
        <f>IFERROR(IF(K31 = 1, "Completed module", IF(((60 - J31) / (1 - K31)) &gt; 100, "Unattainable", IF(((60 - J31) / (1 - K31)) &lt; 0, "Already attained", ((60 - J31) / (1 - K31))))), "-")</f>
        <v>60</v>
      </c>
      <c r="O31" s="158">
        <f>IFERROR(IF(K31 = 1, "Completed module", IF(((50 - J31) / (1 - K31)) &gt; 100, "Unattainable", IF(((50 - J31) / (1 - K31)) &lt; 0, "Already attained", ((50 - J31) / (1 - K31))))), "-")</f>
        <v>50</v>
      </c>
      <c r="P31" s="166">
        <f>IFERROR(IF(K31 = 1, "Completed module", IF(((40 - J31) / (1 - K31)) &gt; 100, "Unattainable", IF(((40 - J31) / (1 - K31)) &lt; 0, "Already attained", ((40 - J31) / (1 - K31))))), "-")</f>
        <v>40</v>
      </c>
    </row>
    <row r="32" spans="1:16" ht="22.8" customHeight="1" thickBot="1">
      <c r="A32" s="207"/>
      <c r="B32" s="208"/>
      <c r="C32" s="209"/>
      <c r="D32" s="301"/>
      <c r="E32" s="210"/>
      <c r="F32" s="211" t="s">
        <v>199</v>
      </c>
      <c r="G32" s="216">
        <v>0.2</v>
      </c>
      <c r="H32" s="211" t="s">
        <v>409</v>
      </c>
      <c r="I32" s="212"/>
      <c r="J32" s="183"/>
      <c r="K32" s="183"/>
      <c r="L32" s="183"/>
      <c r="M32" s="183"/>
      <c r="N32" s="183"/>
      <c r="O32" s="183"/>
      <c r="P32" s="184"/>
    </row>
    <row r="33" spans="1:16" ht="27.6" thickTop="1" thickBot="1">
      <c r="A33" s="227" t="s">
        <v>410</v>
      </c>
      <c r="B33" s="228" t="s">
        <v>411</v>
      </c>
      <c r="C33" s="229">
        <v>5</v>
      </c>
      <c r="D33" s="305">
        <v>8.3299999999999999E-2</v>
      </c>
      <c r="E33" s="230">
        <v>0.5</v>
      </c>
      <c r="F33" s="306" t="s">
        <v>150</v>
      </c>
      <c r="G33" s="315">
        <v>1</v>
      </c>
      <c r="H33" s="306" t="s">
        <v>209</v>
      </c>
      <c r="I33" s="233"/>
      <c r="J33" s="234">
        <f>IF(G33=1, I33, SUMPRODUCT(I33:I33, G33:G33))</f>
        <v>0</v>
      </c>
      <c r="K33" s="234">
        <f>SUMIF(I33:I33, "&lt;&gt;", G33:G33) / SUMIF(G33:G33, "&lt;&gt;")</f>
        <v>0</v>
      </c>
      <c r="L33" s="234" t="str">
        <f>IFERROR(J33/K33, "No grades yet")</f>
        <v>No grades yet</v>
      </c>
      <c r="M33" s="234">
        <f>IFERROR(IF(K33 = 1, "Completed module", IF(((70 - J33) / (1 - K33)) &gt; 100, "Unattainable", IF(((70 - J33) / (1 - K33)) &lt; 0, "Already attained", ((70 - J33) / (1 - K33))))), "-")</f>
        <v>70</v>
      </c>
      <c r="N33" s="234">
        <f>IFERROR(IF(K33 = 1, "Completed module", IF(((60 - J33) / (1 - K33)) &gt; 100, "Unattainable", IF(((60 - J33) / (1 - K33)) &lt; 0, "Already attained", ((60 - J33) / (1 - K33))))), "-")</f>
        <v>60</v>
      </c>
      <c r="O33" s="234">
        <f>IFERROR(IF(K33 = 1, "Completed module", IF(((50 - J33) / (1 - K33)) &gt; 100, "Unattainable", IF(((50 - J33) / (1 - K33)) &lt; 0, "Already attained", ((50 - J33) / (1 - K33))))), "-")</f>
        <v>50</v>
      </c>
      <c r="P33" s="235">
        <f>IFERROR(IF(K33 = 1, "Completed module", IF(((40 - J33) / (1 - K33)) &gt; 100, "Unattainable", IF(((40 - J33) / (1 - K33)) &lt; 0, "Already attained", ((40 - J33) / (1 - K33))))), "-")</f>
        <v>40</v>
      </c>
    </row>
    <row r="34" spans="1:16" ht="23.4" customHeight="1" thickTop="1">
      <c r="A34" s="204" t="s">
        <v>412</v>
      </c>
      <c r="B34" s="201" t="s">
        <v>413</v>
      </c>
      <c r="C34" s="194">
        <v>5</v>
      </c>
      <c r="D34" s="300">
        <v>8.3299999999999999E-2</v>
      </c>
      <c r="E34" s="195">
        <v>0.5</v>
      </c>
      <c r="F34" s="196" t="s">
        <v>150</v>
      </c>
      <c r="G34" s="214">
        <v>0.7</v>
      </c>
      <c r="H34" s="196" t="s">
        <v>209</v>
      </c>
      <c r="I34" s="186"/>
      <c r="J34" s="158">
        <f>IF(G34=1, I34, SUMPRODUCT(I34:I35, G34:G35))</f>
        <v>0</v>
      </c>
      <c r="K34" s="158">
        <f>SUMIF(I34:I35, "&lt;&gt;", G34:G35) / SUMIF(G34:G35, "&lt;&gt;")</f>
        <v>0</v>
      </c>
      <c r="L34" s="158" t="str">
        <f>IFERROR(J34/K34, "No grades yet")</f>
        <v>No grades yet</v>
      </c>
      <c r="M34" s="158">
        <f>IFERROR(IF(K34 = 1, "Completed module", IF(((70 - J34) / (1 - K34)) &gt; 100, "Unattainable", IF(((70 - J34) / (1 - K34)) &lt; 0, "Already attained", ((70 - J34) / (1 - K34))))), "-")</f>
        <v>70</v>
      </c>
      <c r="N34" s="158">
        <f>IFERROR(IF(K34 = 1, "Completed module", IF(((60 - J34) / (1 - K34)) &gt; 100, "Unattainable", IF(((60 - J34) / (1 - K34)) &lt; 0, "Already attained", ((60 - J34) / (1 - K34))))), "-")</f>
        <v>60</v>
      </c>
      <c r="O34" s="158">
        <f>IFERROR(IF(K34 = 1, "Completed module", IF(((50 - J34) / (1 - K34)) &gt; 100, "Unattainable", IF(((50 - J34) / (1 - K34)) &lt; 0, "Already attained", ((50 - J34) / (1 - K34))))), "-")</f>
        <v>50</v>
      </c>
      <c r="P34" s="166">
        <f>IFERROR(IF(K34 = 1, "Completed module", IF(((40 - J34) / (1 - K34)) &gt; 100, "Unattainable", IF(((40 - J34) / (1 - K34)) &lt; 0, "Already attained", ((40 - J34) / (1 - K34))))), "-")</f>
        <v>40</v>
      </c>
    </row>
    <row r="35" spans="1:16" ht="34.200000000000003" customHeight="1" thickBot="1">
      <c r="A35" s="207"/>
      <c r="B35" s="208"/>
      <c r="C35" s="209"/>
      <c r="D35" s="301"/>
      <c r="E35" s="210"/>
      <c r="F35" s="211" t="s">
        <v>201</v>
      </c>
      <c r="G35" s="216">
        <v>0.3</v>
      </c>
      <c r="H35" s="211" t="s">
        <v>414</v>
      </c>
      <c r="I35" s="212"/>
      <c r="J35" s="183"/>
      <c r="K35" s="183"/>
      <c r="L35" s="183"/>
      <c r="M35" s="183"/>
      <c r="N35" s="183"/>
      <c r="O35" s="183"/>
      <c r="P35" s="184"/>
    </row>
    <row r="36" spans="1:16" ht="23.4" customHeight="1" thickTop="1">
      <c r="A36" s="204" t="s">
        <v>415</v>
      </c>
      <c r="B36" s="201" t="s">
        <v>416</v>
      </c>
      <c r="C36" s="194">
        <v>5</v>
      </c>
      <c r="D36" s="300">
        <v>8.3299999999999999E-2</v>
      </c>
      <c r="E36" s="195">
        <v>0.5</v>
      </c>
      <c r="F36" s="196" t="s">
        <v>199</v>
      </c>
      <c r="G36" s="214">
        <v>0.5</v>
      </c>
      <c r="H36" s="196" t="s">
        <v>320</v>
      </c>
      <c r="I36" s="186"/>
      <c r="J36" s="158">
        <f>IF(G36=1, I36, SUMPRODUCT(I36:I37, G36:G37))</f>
        <v>0</v>
      </c>
      <c r="K36" s="158">
        <f>SUMIF(I36:I37, "&lt;&gt;", G36:G37) / SUMIF(G36:G37, "&lt;&gt;")</f>
        <v>0</v>
      </c>
      <c r="L36" s="158" t="str">
        <f>IFERROR(J36/K36, "No grades yet")</f>
        <v>No grades yet</v>
      </c>
      <c r="M36" s="158">
        <f>IFERROR(IF(K36 = 1, "Completed module", IF(((70 - J36) / (1 - K36)) &gt; 100, "Unattainable", IF(((70 - J36) / (1 - K36)) &lt; 0, "Already attained", ((70 - J36) / (1 - K36))))), "-")</f>
        <v>70</v>
      </c>
      <c r="N36" s="158">
        <f>IFERROR(IF(K36 = 1, "Completed module", IF(((60 - J36) / (1 - K36)) &gt; 100, "Unattainable", IF(((60 - J36) / (1 - K36)) &lt; 0, "Already attained", ((60 - J36) / (1 - K36))))), "-")</f>
        <v>60</v>
      </c>
      <c r="O36" s="158">
        <f>IFERROR(IF(K36 = 1, "Completed module", IF(((50 - J36) / (1 - K36)) &gt; 100, "Unattainable", IF(((50 - J36) / (1 - K36)) &lt; 0, "Already attained", ((50 - J36) / (1 - K36))))), "-")</f>
        <v>50</v>
      </c>
      <c r="P36" s="166">
        <f>IFERROR(IF(K36 = 1, "Completed module", IF(((40 - J36) / (1 - K36)) &gt; 100, "Unattainable", IF(((40 - J36) / (1 - K36)) &lt; 0, "Already attained", ((40 - J36) / (1 - K36))))), "-")</f>
        <v>40</v>
      </c>
    </row>
    <row r="37" spans="1:16" ht="13.8" thickBot="1">
      <c r="A37" s="207"/>
      <c r="B37" s="208"/>
      <c r="C37" s="209"/>
      <c r="D37" s="301"/>
      <c r="E37" s="210"/>
      <c r="F37" s="211" t="s">
        <v>199</v>
      </c>
      <c r="G37" s="216">
        <v>0.5</v>
      </c>
      <c r="H37" s="211" t="s">
        <v>321</v>
      </c>
      <c r="I37" s="212"/>
      <c r="J37" s="183"/>
      <c r="K37" s="183"/>
      <c r="L37" s="183"/>
      <c r="M37" s="183"/>
      <c r="N37" s="183"/>
      <c r="O37" s="183"/>
      <c r="P37" s="184"/>
    </row>
    <row r="38" spans="1:16" ht="23.4" customHeight="1" thickTop="1">
      <c r="A38" s="204" t="s">
        <v>417</v>
      </c>
      <c r="B38" s="201" t="s">
        <v>418</v>
      </c>
      <c r="C38" s="194">
        <v>5</v>
      </c>
      <c r="D38" s="300">
        <v>8.3299999999999999E-2</v>
      </c>
      <c r="E38" s="195">
        <v>0.5</v>
      </c>
      <c r="F38" s="196" t="s">
        <v>150</v>
      </c>
      <c r="G38" s="214">
        <v>0.75</v>
      </c>
      <c r="H38" s="196" t="s">
        <v>209</v>
      </c>
      <c r="I38" s="186"/>
      <c r="J38" s="158">
        <f>IF(G38=1, I38, SUMPRODUCT(I38:I39, G38:G39))</f>
        <v>0</v>
      </c>
      <c r="K38" s="158">
        <f>SUMIF(I38:I39, "&lt;&gt;", G38:G39) / SUMIF(G38:G39, "&lt;&gt;")</f>
        <v>0</v>
      </c>
      <c r="L38" s="158" t="str">
        <f>IFERROR(J38/K38, "No grades yet")</f>
        <v>No grades yet</v>
      </c>
      <c r="M38" s="158">
        <f>IFERROR(IF(K38 = 1, "Completed module", IF(((70 - J38) / (1 - K38)) &gt; 100, "Unattainable", IF(((70 - J38) / (1 - K38)) &lt; 0, "Already attained", ((70 - J38) / (1 - K38))))), "-")</f>
        <v>70</v>
      </c>
      <c r="N38" s="158">
        <f>IFERROR(IF(K38 = 1, "Completed module", IF(((60 - J38) / (1 - K38)) &gt; 100, "Unattainable", IF(((60 - J38) / (1 - K38)) &lt; 0, "Already attained", ((60 - J38) / (1 - K38))))), "-")</f>
        <v>60</v>
      </c>
      <c r="O38" s="158">
        <f>IFERROR(IF(K38 = 1, "Completed module", IF(((50 - J38) / (1 - K38)) &gt; 100, "Unattainable", IF(((50 - J38) / (1 - K38)) &lt; 0, "Already attained", ((50 - J38) / (1 - K38))))), "-")</f>
        <v>50</v>
      </c>
      <c r="P38" s="166">
        <f>IFERROR(IF(K38 = 1, "Completed module", IF(((40 - J38) / (1 - K38)) &gt; 100, "Unattainable", IF(((40 - J38) / (1 - K38)) &lt; 0, "Already attained", ((40 - J38) / (1 - K38))))), "-")</f>
        <v>40</v>
      </c>
    </row>
    <row r="39" spans="1:16" ht="13.8" thickBot="1">
      <c r="A39" s="207"/>
      <c r="B39" s="208"/>
      <c r="C39" s="209"/>
      <c r="D39" s="301"/>
      <c r="E39" s="210"/>
      <c r="F39" s="211" t="s">
        <v>188</v>
      </c>
      <c r="G39" s="216">
        <v>0.25</v>
      </c>
      <c r="H39" s="211" t="s">
        <v>188</v>
      </c>
      <c r="I39" s="212"/>
      <c r="J39" s="183"/>
      <c r="K39" s="183"/>
      <c r="L39" s="183"/>
      <c r="M39" s="183"/>
      <c r="N39" s="183"/>
      <c r="O39" s="183"/>
      <c r="P39" s="184"/>
    </row>
    <row r="40" spans="1:16" ht="54" customHeight="1" thickTop="1" thickBot="1">
      <c r="A40" s="226" t="s">
        <v>419</v>
      </c>
      <c r="B40" s="225" t="s">
        <v>420</v>
      </c>
      <c r="C40" s="218">
        <v>5</v>
      </c>
      <c r="D40" s="302">
        <v>8.3299999999999999E-2</v>
      </c>
      <c r="E40" s="219">
        <v>0.5</v>
      </c>
      <c r="F40" s="220" t="s">
        <v>255</v>
      </c>
      <c r="G40" s="221"/>
      <c r="H40" s="220"/>
      <c r="I40" s="222"/>
      <c r="J40" s="223" t="e">
        <f>IF(G40=1, I40, SUMPRODUCT(I40:I40, G40:G40))</f>
        <v>#VALUE!</v>
      </c>
      <c r="K40" s="223" t="e">
        <f>SUMIF(I40:I40, "&lt;&gt;", G40:G40) / SUMIF(G40:G40, "&lt;&gt;")</f>
        <v>#DIV/0!</v>
      </c>
      <c r="L40" s="223" t="str">
        <f>IFERROR(J40/K40, "No grades yet")</f>
        <v>No grades yet</v>
      </c>
      <c r="M40" s="223" t="str">
        <f>IFERROR(IF(K40 = 1, "Completed module", IF(((70 - J40) / (1 - K40)) &gt; 100, "Unattainable", IF(((70 - J40) / (1 - K40)) &lt; 0, "Already attained", ((70 - J40) / (1 - K40))))), "-")</f>
        <v>-</v>
      </c>
      <c r="N40" s="223" t="str">
        <f>IFERROR(IF(K40 = 1, "Completed module", IF(((60 - J40) / (1 - K40)) &gt; 100, "Unattainable", IF(((60 - J40) / (1 - K40)) &lt; 0, "Already attained", ((60 - J40) / (1 - K40))))), "-")</f>
        <v>-</v>
      </c>
      <c r="O40" s="223" t="str">
        <f>IFERROR(IF(K40 = 1, "Completed module", IF(((50 - J40) / (1 - K40)) &gt; 100, "Unattainable", IF(((50 - J40) / (1 - K40)) &lt; 0, "Already attained", ((50 - J40) / (1 - K40))))), "-")</f>
        <v>-</v>
      </c>
      <c r="P40" s="224" t="str">
        <f>IFERROR(IF(K40 = 1, "Completed module", IF(((40 - J40) / (1 - K40)) &gt; 100, "Unattainable", IF(((40 - J40) / (1 - K40)) &lt; 0, "Already attained", ((40 - J40) / (1 - K40))))), "-")</f>
        <v>-</v>
      </c>
    </row>
    <row r="41" spans="1:16" ht="13.8" thickTop="1"/>
    <row r="42" spans="1:16" ht="13.8" thickBot="1">
      <c r="A42" s="52" t="s">
        <v>371</v>
      </c>
      <c r="B42" s="2"/>
    </row>
    <row r="43" spans="1:16" ht="14.4" thickTop="1" thickBot="1">
      <c r="A43" s="27" t="s">
        <v>65</v>
      </c>
      <c r="B43" s="28" t="s">
        <v>1</v>
      </c>
      <c r="C43" s="28" t="s">
        <v>0</v>
      </c>
      <c r="D43" s="28" t="s">
        <v>91</v>
      </c>
      <c r="E43" s="28" t="s">
        <v>92</v>
      </c>
      <c r="F43" s="114" t="s">
        <v>224</v>
      </c>
      <c r="G43" s="114"/>
      <c r="H43" s="114"/>
      <c r="I43" s="28" t="s">
        <v>2</v>
      </c>
      <c r="J43" s="28" t="s">
        <v>3</v>
      </c>
      <c r="K43" s="28" t="s">
        <v>4</v>
      </c>
      <c r="L43" s="28" t="s">
        <v>5</v>
      </c>
      <c r="M43" s="28" t="s">
        <v>193</v>
      </c>
      <c r="N43" s="28" t="s">
        <v>7</v>
      </c>
      <c r="O43" s="28" t="s">
        <v>194</v>
      </c>
      <c r="P43" s="29" t="s">
        <v>195</v>
      </c>
    </row>
    <row r="44" spans="1:16" ht="27.6" thickTop="1" thickBot="1">
      <c r="A44" s="227" t="s">
        <v>421</v>
      </c>
      <c r="B44" s="228" t="s">
        <v>422</v>
      </c>
      <c r="C44" s="229">
        <v>5</v>
      </c>
      <c r="D44" s="305">
        <v>8.3299999999999999E-2</v>
      </c>
      <c r="E44" s="230">
        <v>0.5</v>
      </c>
      <c r="F44" s="306" t="s">
        <v>199</v>
      </c>
      <c r="G44" s="306" t="s">
        <v>423</v>
      </c>
      <c r="H44" s="315">
        <v>1</v>
      </c>
      <c r="I44" s="233"/>
      <c r="J44" s="234" t="e">
        <f>IF(G44=1, I44, SUMPRODUCT(I44:I44, G44:G44))</f>
        <v>#VALUE!</v>
      </c>
      <c r="K44" s="234" t="e">
        <f>SUMIF(I44:I44, "&lt;&gt;", G44:G44) / SUMIF(G44:G44, "&lt;&gt;")</f>
        <v>#DIV/0!</v>
      </c>
      <c r="L44" s="234" t="str">
        <f>IFERROR(J44/K44, "No grades yet")</f>
        <v>No grades yet</v>
      </c>
      <c r="M44" s="234" t="str">
        <f>IFERROR(IF(K44 = 1, "Completed module", IF(((70 - J44) / (1 - K44)) &gt; 100, "Unattainable", IF(((70 - J44) / (1 - K44)) &lt; 0, "Already attained", ((70 - J44) / (1 - K44))))), "-")</f>
        <v>-</v>
      </c>
      <c r="N44" s="234" t="str">
        <f>IFERROR(IF(K44 = 1, "Completed module", IF(((60 - J44) / (1 - K44)) &gt; 100, "Unattainable", IF(((60 - J44) / (1 - K44)) &lt; 0, "Already attained", ((60 - J44) / (1 - K44))))), "-")</f>
        <v>-</v>
      </c>
      <c r="O44" s="234" t="str">
        <f>IFERROR(IF(K44 = 1, "Completed module", IF(((50 - J44) / (1 - K44)) &gt; 100, "Unattainable", IF(((50 - J44) / (1 - K44)) &lt; 0, "Already attained", ((50 - J44) / (1 - K44))))), "-")</f>
        <v>-</v>
      </c>
      <c r="P44" s="235" t="str">
        <f>IFERROR(IF(K44 = 1, "Completed module", IF(((40 - J44) / (1 - K44)) &gt; 100, "Unattainable", IF(((40 - J44) / (1 - K44)) &lt; 0, "Already attained", ((40 - J44) / (1 - K44))))), "-")</f>
        <v>-</v>
      </c>
    </row>
    <row r="45" spans="1:16" ht="40.200000000000003" thickTop="1">
      <c r="A45" s="204" t="s">
        <v>424</v>
      </c>
      <c r="B45" s="201" t="s">
        <v>425</v>
      </c>
      <c r="C45" s="194">
        <v>5</v>
      </c>
      <c r="D45" s="300">
        <v>8.3299999999999999E-2</v>
      </c>
      <c r="E45" s="195">
        <v>0.5</v>
      </c>
      <c r="F45" s="196" t="s">
        <v>199</v>
      </c>
      <c r="G45" s="196" t="s">
        <v>426</v>
      </c>
      <c r="H45" s="214">
        <v>0.1</v>
      </c>
      <c r="I45" s="186"/>
      <c r="J45" s="158">
        <f>IF(G45=1, I45, SUMPRODUCT(I45:I47, G45:G47))</f>
        <v>0</v>
      </c>
      <c r="K45" s="158" t="e">
        <f>SUMIF(I45:I47, "&lt;&gt;", G45:G47) / SUMIF(G45:G47, "&lt;&gt;")</f>
        <v>#DIV/0!</v>
      </c>
      <c r="L45" s="158" t="str">
        <f>IFERROR(J45/K45, "No grades yet")</f>
        <v>No grades yet</v>
      </c>
      <c r="M45" s="158" t="str">
        <f>IFERROR(IF(K45 = 1, "Completed module", IF(((70 - J45) / (1 - K45)) &gt; 100, "Unattainable", IF(((70 - J45) / (1 - K45)) &lt; 0, "Already attained", ((70 - J45) / (1 - K45))))), "-")</f>
        <v>-</v>
      </c>
      <c r="N45" s="158" t="str">
        <f>IFERROR(IF(K45 = 1, "Completed module", IF(((60 - J45) / (1 - K45)) &gt; 100, "Unattainable", IF(((60 - J45) / (1 - K45)) &lt; 0, "Already attained", ((60 - J45) / (1 - K45))))), "-")</f>
        <v>-</v>
      </c>
      <c r="O45" s="158" t="str">
        <f>IFERROR(IF(K45 = 1, "Completed module", IF(((50 - J45) / (1 - K45)) &gt; 100, "Unattainable", IF(((50 - J45) / (1 - K45)) &lt; 0, "Already attained", ((50 - J45) / (1 - K45))))), "-")</f>
        <v>-</v>
      </c>
      <c r="P45" s="166" t="str">
        <f>IFERROR(IF(K45 = 1, "Completed module", IF(((40 - J45) / (1 - K45)) &gt; 100, "Unattainable", IF(((40 - J45) / (1 - K45)) &lt; 0, "Already attained", ((40 - J45) / (1 - K45))))), "-")</f>
        <v>-</v>
      </c>
    </row>
    <row r="46" spans="1:16" ht="34.200000000000003" customHeight="1">
      <c r="A46" s="205"/>
      <c r="B46" s="202"/>
      <c r="C46" s="191"/>
      <c r="D46" s="299"/>
      <c r="E46" s="192"/>
      <c r="F46" s="193" t="s">
        <v>199</v>
      </c>
      <c r="G46" s="193" t="s">
        <v>427</v>
      </c>
      <c r="H46" s="213">
        <v>0.1</v>
      </c>
      <c r="I46" s="185"/>
      <c r="J46" s="148"/>
      <c r="K46" s="148"/>
      <c r="L46" s="148"/>
      <c r="M46" s="148"/>
      <c r="N46" s="148"/>
      <c r="O46" s="148"/>
      <c r="P46" s="167"/>
    </row>
    <row r="47" spans="1:16" ht="22.8" customHeight="1" thickBot="1">
      <c r="A47" s="207"/>
      <c r="B47" s="208"/>
      <c r="C47" s="209"/>
      <c r="D47" s="301"/>
      <c r="E47" s="210"/>
      <c r="F47" s="211" t="s">
        <v>199</v>
      </c>
      <c r="G47" s="211" t="s">
        <v>428</v>
      </c>
      <c r="H47" s="216">
        <v>0.8</v>
      </c>
      <c r="I47" s="212"/>
      <c r="J47" s="183"/>
      <c r="K47" s="183"/>
      <c r="L47" s="183"/>
      <c r="M47" s="183"/>
      <c r="N47" s="183"/>
      <c r="O47" s="183"/>
      <c r="P47" s="184"/>
    </row>
    <row r="48" spans="1:16" ht="27.6" thickTop="1" thickBot="1">
      <c r="A48" s="227" t="s">
        <v>429</v>
      </c>
      <c r="B48" s="228" t="s">
        <v>430</v>
      </c>
      <c r="C48" s="229">
        <v>5</v>
      </c>
      <c r="D48" s="305">
        <v>8.3299999999999999E-2</v>
      </c>
      <c r="E48" s="230">
        <v>0.4</v>
      </c>
      <c r="F48" s="306" t="s">
        <v>431</v>
      </c>
      <c r="G48" s="317"/>
      <c r="H48" s="306"/>
      <c r="I48" s="233"/>
      <c r="J48" s="234" t="e">
        <f>IF(G48=1, I48, SUMPRODUCT(I48:I48, G48:G48))</f>
        <v>#VALUE!</v>
      </c>
      <c r="K48" s="234" t="e">
        <f>SUMIF(I48:I48, "&lt;&gt;", G48:G48) / SUMIF(G48:G48, "&lt;&gt;")</f>
        <v>#DIV/0!</v>
      </c>
      <c r="L48" s="234" t="str">
        <f>IFERROR(J48/K48, "No grades yet")</f>
        <v>No grades yet</v>
      </c>
      <c r="M48" s="234" t="str">
        <f>IFERROR(IF(K48 = 1, "Completed module", IF(((70 - J48) / (1 - K48)) &gt; 100, "Unattainable", IF(((70 - J48) / (1 - K48)) &lt; 0, "Already attained", ((70 - J48) / (1 - K48))))), "-")</f>
        <v>-</v>
      </c>
      <c r="N48" s="234" t="str">
        <f>IFERROR(IF(K48 = 1, "Completed module", IF(((60 - J48) / (1 - K48)) &gt; 100, "Unattainable", IF(((60 - J48) / (1 - K48)) &lt; 0, "Already attained", ((60 - J48) / (1 - K48))))), "-")</f>
        <v>-</v>
      </c>
      <c r="O48" s="234" t="str">
        <f>IFERROR(IF(K48 = 1, "Completed module", IF(((50 - J48) / (1 - K48)) &gt; 100, "Unattainable", IF(((50 - J48) / (1 - K48)) &lt; 0, "Already attained", ((50 - J48) / (1 - K48))))), "-")</f>
        <v>-</v>
      </c>
      <c r="P48" s="235" t="str">
        <f>IFERROR(IF(K48 = 1, "Completed module", IF(((40 - J48) / (1 - K48)) &gt; 100, "Unattainable", IF(((40 - J48) / (1 - K48)) &lt; 0, "Already attained", ((40 - J48) / (1 - K48))))), "-")</f>
        <v>-</v>
      </c>
    </row>
    <row r="49" spans="1:16" ht="14.4" thickTop="1" thickBot="1">
      <c r="A49" s="227" t="s">
        <v>432</v>
      </c>
      <c r="B49" s="228" t="s">
        <v>433</v>
      </c>
      <c r="C49" s="229">
        <v>5</v>
      </c>
      <c r="D49" s="305">
        <v>8.3299999999999999E-2</v>
      </c>
      <c r="E49" s="230">
        <v>0.4</v>
      </c>
      <c r="F49" s="306" t="s">
        <v>431</v>
      </c>
      <c r="G49" s="317"/>
      <c r="H49" s="306"/>
      <c r="I49" s="233"/>
      <c r="J49" s="234" t="e">
        <f>IF(G49=1, I49, SUMPRODUCT(I49:I49, G49:G49))</f>
        <v>#VALUE!</v>
      </c>
      <c r="K49" s="234" t="e">
        <f>SUMIF(I49:I49, "&lt;&gt;", G49:G49) / SUMIF(G49:G49, "&lt;&gt;")</f>
        <v>#DIV/0!</v>
      </c>
      <c r="L49" s="234" t="str">
        <f>IFERROR(J49/K49, "No grades yet")</f>
        <v>No grades yet</v>
      </c>
      <c r="M49" s="234" t="str">
        <f>IFERROR(IF(K49 = 1, "Completed module", IF(((70 - J49) / (1 - K49)) &gt; 100, "Unattainable", IF(((70 - J49) / (1 - K49)) &lt; 0, "Already attained", ((70 - J49) / (1 - K49))))), "-")</f>
        <v>-</v>
      </c>
      <c r="N49" s="234" t="str">
        <f>IFERROR(IF(K49 = 1, "Completed module", IF(((60 - J49) / (1 - K49)) &gt; 100, "Unattainable", IF(((60 - J49) / (1 - K49)) &lt; 0, "Already attained", ((60 - J49) / (1 - K49))))), "-")</f>
        <v>-</v>
      </c>
      <c r="O49" s="234" t="str">
        <f>IFERROR(IF(K49 = 1, "Completed module", IF(((50 - J49) / (1 - K49)) &gt; 100, "Unattainable", IF(((50 - J49) / (1 - K49)) &lt; 0, "Already attained", ((50 - J49) / (1 - K49))))), "-")</f>
        <v>-</v>
      </c>
      <c r="P49" s="235" t="str">
        <f>IFERROR(IF(K49 = 1, "Completed module", IF(((40 - J49) / (1 - K49)) &gt; 100, "Unattainable", IF(((40 - J49) / (1 - K49)) &lt; 0, "Already attained", ((40 - J49) / (1 - K49))))), "-")</f>
        <v>-</v>
      </c>
    </row>
    <row r="50" spans="1:16" ht="27.6" thickTop="1" thickBot="1">
      <c r="A50" s="227" t="s">
        <v>253</v>
      </c>
      <c r="B50" s="228" t="s">
        <v>254</v>
      </c>
      <c r="C50" s="229">
        <v>5</v>
      </c>
      <c r="D50" s="305">
        <v>8.3299999999999999E-2</v>
      </c>
      <c r="E50" s="230">
        <v>0.4</v>
      </c>
      <c r="F50" s="306" t="s">
        <v>431</v>
      </c>
      <c r="G50" s="317"/>
      <c r="H50" s="306"/>
      <c r="I50" s="233"/>
      <c r="J50" s="234" t="e">
        <f>IF(G50=1, I50, SUMPRODUCT(I50:I50, G50:G50))</f>
        <v>#VALUE!</v>
      </c>
      <c r="K50" s="234" t="e">
        <f>SUMIF(I50:I50, "&lt;&gt;", G50:G50) / SUMIF(G50:G50, "&lt;&gt;")</f>
        <v>#DIV/0!</v>
      </c>
      <c r="L50" s="234" t="str">
        <f>IFERROR(J50/K50, "No grades yet")</f>
        <v>No grades yet</v>
      </c>
      <c r="M50" s="234" t="str">
        <f>IFERROR(IF(K50 = 1, "Completed module", IF(((70 - J50) / (1 - K50)) &gt; 100, "Unattainable", IF(((70 - J50) / (1 - K50)) &lt; 0, "Already attained", ((70 - J50) / (1 - K50))))), "-")</f>
        <v>-</v>
      </c>
      <c r="N50" s="234" t="str">
        <f>IFERROR(IF(K50 = 1, "Completed module", IF(((60 - J50) / (1 - K50)) &gt; 100, "Unattainable", IF(((60 - J50) / (1 - K50)) &lt; 0, "Already attained", ((60 - J50) / (1 - K50))))), "-")</f>
        <v>-</v>
      </c>
      <c r="O50" s="234" t="str">
        <f>IFERROR(IF(K50 = 1, "Completed module", IF(((50 - J50) / (1 - K50)) &gt; 100, "Unattainable", IF(((50 - J50) / (1 - K50)) &lt; 0, "Already attained", ((50 - J50) / (1 - K50))))), "-")</f>
        <v>-</v>
      </c>
      <c r="P50" s="235" t="str">
        <f>IFERROR(IF(K50 = 1, "Completed module", IF(((40 - J50) / (1 - K50)) &gt; 100, "Unattainable", IF(((40 - J50) / (1 - K50)) &lt; 0, "Already attained", ((40 - J50) / (1 - K50))))), "-")</f>
        <v>-</v>
      </c>
    </row>
    <row r="51" spans="1:16" ht="14.4" thickTop="1" thickBot="1">
      <c r="A51" s="227" t="s">
        <v>434</v>
      </c>
      <c r="B51" s="228" t="s">
        <v>237</v>
      </c>
      <c r="C51" s="229">
        <v>5</v>
      </c>
      <c r="D51" s="305">
        <v>8.3299999999999999E-2</v>
      </c>
      <c r="E51" s="230">
        <v>0.4</v>
      </c>
      <c r="F51" s="306" t="s">
        <v>431</v>
      </c>
      <c r="G51" s="317"/>
      <c r="H51" s="306"/>
      <c r="I51" s="233"/>
      <c r="J51" s="234" t="e">
        <f>IF(G51=1, I51, SUMPRODUCT(I51:I51, G51:G51))</f>
        <v>#VALUE!</v>
      </c>
      <c r="K51" s="234" t="e">
        <f>SUMIF(I51:I51, "&lt;&gt;", G51:G51) / SUMIF(G51:G51, "&lt;&gt;")</f>
        <v>#DIV/0!</v>
      </c>
      <c r="L51" s="234" t="str">
        <f>IFERROR(J51/K51, "No grades yet")</f>
        <v>No grades yet</v>
      </c>
      <c r="M51" s="234" t="str">
        <f>IFERROR(IF(K51 = 1, "Completed module", IF(((70 - J51) / (1 - K51)) &gt; 100, "Unattainable", IF(((70 - J51) / (1 - K51)) &lt; 0, "Already attained", ((70 - J51) / (1 - K51))))), "-")</f>
        <v>-</v>
      </c>
      <c r="N51" s="234" t="str">
        <f>IFERROR(IF(K51 = 1, "Completed module", IF(((60 - J51) / (1 - K51)) &gt; 100, "Unattainable", IF(((60 - J51) / (1 - K51)) &lt; 0, "Already attained", ((60 - J51) / (1 - K51))))), "-")</f>
        <v>-</v>
      </c>
      <c r="O51" s="234" t="str">
        <f>IFERROR(IF(K51 = 1, "Completed module", IF(((50 - J51) / (1 - K51)) &gt; 100, "Unattainable", IF(((50 - J51) / (1 - K51)) &lt; 0, "Already attained", ((50 - J51) / (1 - K51))))), "-")</f>
        <v>-</v>
      </c>
      <c r="P51" s="235" t="str">
        <f>IFERROR(IF(K51 = 1, "Completed module", IF(((40 - J51) / (1 - K51)) &gt; 100, "Unattainable", IF(((40 - J51) / (1 - K51)) &lt; 0, "Already attained", ((40 - J51) / (1 - K51))))), "-")</f>
        <v>-</v>
      </c>
    </row>
    <row r="52" spans="1:16" ht="14.4" thickTop="1" thickBot="1">
      <c r="A52" s="227" t="s">
        <v>256</v>
      </c>
      <c r="B52" s="228" t="s">
        <v>257</v>
      </c>
      <c r="C52" s="229">
        <v>5</v>
      </c>
      <c r="D52" s="305">
        <v>8.3299999999999999E-2</v>
      </c>
      <c r="E52" s="230">
        <v>0.4</v>
      </c>
      <c r="F52" s="306" t="s">
        <v>431</v>
      </c>
      <c r="G52" s="317"/>
      <c r="H52" s="306"/>
      <c r="I52" s="233"/>
      <c r="J52" s="234" t="e">
        <f>IF(G52=1, I52, SUMPRODUCT(I52:I52, G52:G52))</f>
        <v>#VALUE!</v>
      </c>
      <c r="K52" s="234" t="e">
        <f>SUMIF(I52:I52, "&lt;&gt;", G52:G52) / SUMIF(G52:G52, "&lt;&gt;")</f>
        <v>#DIV/0!</v>
      </c>
      <c r="L52" s="234" t="str">
        <f>IFERROR(J52/K52, "No grades yet")</f>
        <v>No grades yet</v>
      </c>
      <c r="M52" s="234" t="str">
        <f>IFERROR(IF(K52 = 1, "Completed module", IF(((70 - J52) / (1 - K52)) &gt; 100, "Unattainable", IF(((70 - J52) / (1 - K52)) &lt; 0, "Already attained", ((70 - J52) / (1 - K52))))), "-")</f>
        <v>-</v>
      </c>
      <c r="N52" s="234" t="str">
        <f>IFERROR(IF(K52 = 1, "Completed module", IF(((60 - J52) / (1 - K52)) &gt; 100, "Unattainable", IF(((60 - J52) / (1 - K52)) &lt; 0, "Already attained", ((60 - J52) / (1 - K52))))), "-")</f>
        <v>-</v>
      </c>
      <c r="O52" s="234" t="str">
        <f>IFERROR(IF(K52 = 1, "Completed module", IF(((50 - J52) / (1 - K52)) &gt; 100, "Unattainable", IF(((50 - J52) / (1 - K52)) &lt; 0, "Already attained", ((50 - J52) / (1 - K52))))), "-")</f>
        <v>-</v>
      </c>
      <c r="P52" s="235" t="str">
        <f>IFERROR(IF(K52 = 1, "Completed module", IF(((40 - J52) / (1 - K52)) &gt; 100, "Unattainable", IF(((40 - J52) / (1 - K52)) &lt; 0, "Already attained", ((40 - J52) / (1 - K52))))), "-")</f>
        <v>-</v>
      </c>
    </row>
    <row r="53" spans="1:16" ht="14.4" thickTop="1" thickBot="1">
      <c r="A53" s="227" t="s">
        <v>435</v>
      </c>
      <c r="B53" s="228" t="s">
        <v>436</v>
      </c>
      <c r="C53" s="229">
        <v>5</v>
      </c>
      <c r="D53" s="305">
        <v>8.3299999999999999E-2</v>
      </c>
      <c r="E53" s="230">
        <v>0.4</v>
      </c>
      <c r="F53" s="306" t="s">
        <v>431</v>
      </c>
      <c r="G53" s="317"/>
      <c r="H53" s="306"/>
      <c r="I53" s="233"/>
      <c r="J53" s="234" t="e">
        <f>IF(G53=1, I53, SUMPRODUCT(I53:I53, G53:G53))</f>
        <v>#VALUE!</v>
      </c>
      <c r="K53" s="234" t="e">
        <f>SUMIF(I53:I53, "&lt;&gt;", G53:G53) / SUMIF(G53:G53, "&lt;&gt;")</f>
        <v>#DIV/0!</v>
      </c>
      <c r="L53" s="234" t="str">
        <f>IFERROR(J53/K53, "No grades yet")</f>
        <v>No grades yet</v>
      </c>
      <c r="M53" s="234" t="str">
        <f>IFERROR(IF(K53 = 1, "Completed module", IF(((70 - J53) / (1 - K53)) &gt; 100, "Unattainable", IF(((70 - J53) / (1 - K53)) &lt; 0, "Already attained", ((70 - J53) / (1 - K53))))), "-")</f>
        <v>-</v>
      </c>
      <c r="N53" s="234" t="str">
        <f>IFERROR(IF(K53 = 1, "Completed module", IF(((60 - J53) / (1 - K53)) &gt; 100, "Unattainable", IF(((60 - J53) / (1 - K53)) &lt; 0, "Already attained", ((60 - J53) / (1 - K53))))), "-")</f>
        <v>-</v>
      </c>
      <c r="O53" s="234" t="str">
        <f>IFERROR(IF(K53 = 1, "Completed module", IF(((50 - J53) / (1 - K53)) &gt; 100, "Unattainable", IF(((50 - J53) / (1 - K53)) &lt; 0, "Already attained", ((50 - J53) / (1 - K53))))), "-")</f>
        <v>-</v>
      </c>
      <c r="P53" s="235" t="str">
        <f>IFERROR(IF(K53 = 1, "Completed module", IF(((40 - J53) / (1 - K53)) &gt; 100, "Unattainable", IF(((40 - J53) / (1 - K53)) &lt; 0, "Already attained", ((40 - J53) / (1 - K53))))), "-")</f>
        <v>-</v>
      </c>
    </row>
    <row r="54" spans="1:16" ht="14.4" thickTop="1" thickBot="1">
      <c r="A54" s="226" t="s">
        <v>437</v>
      </c>
      <c r="B54" s="225" t="s">
        <v>438</v>
      </c>
      <c r="C54" s="218">
        <v>5</v>
      </c>
      <c r="D54" s="302">
        <v>8.3299999999999999E-2</v>
      </c>
      <c r="E54" s="219">
        <v>0.4</v>
      </c>
      <c r="F54" s="217" t="s">
        <v>431</v>
      </c>
      <c r="G54" s="316"/>
      <c r="H54" s="217"/>
      <c r="I54" s="222"/>
      <c r="J54" s="223" t="e">
        <f>IF(G54=1, I54, SUMPRODUCT(I54:I54, G54:G54))</f>
        <v>#VALUE!</v>
      </c>
      <c r="K54" s="223" t="e">
        <f>SUMIF(I54:I54, "&lt;&gt;", G54:G54) / SUMIF(G54:G54, "&lt;&gt;")</f>
        <v>#DIV/0!</v>
      </c>
      <c r="L54" s="223" t="str">
        <f>IFERROR(J54/K54, "No grades yet")</f>
        <v>No grades yet</v>
      </c>
      <c r="M54" s="223" t="str">
        <f>IFERROR(IF(K54 = 1, "Completed module", IF(((70 - J54) / (1 - K54)) &gt; 100, "Unattainable", IF(((70 - J54) / (1 - K54)) &lt; 0, "Already attained", ((70 - J54) / (1 - K54))))), "-")</f>
        <v>-</v>
      </c>
      <c r="N54" s="223" t="str">
        <f>IFERROR(IF(K54 = 1, "Completed module", IF(((60 - J54) / (1 - K54)) &gt; 100, "Unattainable", IF(((60 - J54) / (1 - K54)) &lt; 0, "Already attained", ((60 - J54) / (1 - K54))))), "-")</f>
        <v>-</v>
      </c>
      <c r="O54" s="223" t="str">
        <f>IFERROR(IF(K54 = 1, "Completed module", IF(((50 - J54) / (1 - K54)) &gt; 100, "Unattainable", IF(((50 - J54) / (1 - K54)) &lt; 0, "Already attained", ((50 - J54) / (1 - K54))))), "-")</f>
        <v>-</v>
      </c>
      <c r="P54" s="224" t="str">
        <f>IFERROR(IF(K54 = 1, "Completed module", IF(((40 - J54) / (1 - K54)) &gt; 100, "Unattainable", IF(((40 - J54) / (1 - K54)) &lt; 0, "Already attained", ((40 - J54) / (1 - K54))))), "-")</f>
        <v>-</v>
      </c>
    </row>
    <row r="55" spans="1:16" ht="13.8" thickTop="1"/>
  </sheetData>
  <mergeCells count="136">
    <mergeCell ref="O45:O47"/>
    <mergeCell ref="P45:P47"/>
    <mergeCell ref="F43:H43"/>
    <mergeCell ref="D45:D47"/>
    <mergeCell ref="J45:J47"/>
    <mergeCell ref="K45:K47"/>
    <mergeCell ref="L45:L47"/>
    <mergeCell ref="M45:M47"/>
    <mergeCell ref="N45:N47"/>
    <mergeCell ref="A45:A47"/>
    <mergeCell ref="B45:B47"/>
    <mergeCell ref="C45:C47"/>
    <mergeCell ref="E45:E47"/>
    <mergeCell ref="D10:D17"/>
    <mergeCell ref="D18:D21"/>
    <mergeCell ref="D25:D26"/>
    <mergeCell ref="D27:D28"/>
    <mergeCell ref="D29:D30"/>
    <mergeCell ref="O38:O39"/>
    <mergeCell ref="P38:P39"/>
    <mergeCell ref="J38:J39"/>
    <mergeCell ref="K38:K39"/>
    <mergeCell ref="L38:L39"/>
    <mergeCell ref="M38:M39"/>
    <mergeCell ref="N38:N39"/>
    <mergeCell ref="A38:A39"/>
    <mergeCell ref="B38:B39"/>
    <mergeCell ref="C38:C39"/>
    <mergeCell ref="E38:E39"/>
    <mergeCell ref="D38:D39"/>
    <mergeCell ref="O34:O35"/>
    <mergeCell ref="P34:P35"/>
    <mergeCell ref="A36:A37"/>
    <mergeCell ref="B36:B37"/>
    <mergeCell ref="C36:C37"/>
    <mergeCell ref="E36:E37"/>
    <mergeCell ref="J36:J37"/>
    <mergeCell ref="K36:K37"/>
    <mergeCell ref="L36:L37"/>
    <mergeCell ref="M36:M37"/>
    <mergeCell ref="N36:N37"/>
    <mergeCell ref="O36:O37"/>
    <mergeCell ref="P36:P37"/>
    <mergeCell ref="D34:D35"/>
    <mergeCell ref="D36:D37"/>
    <mergeCell ref="J34:J35"/>
    <mergeCell ref="K34:K35"/>
    <mergeCell ref="L34:L35"/>
    <mergeCell ref="M34:M35"/>
    <mergeCell ref="N34:N35"/>
    <mergeCell ref="A34:A35"/>
    <mergeCell ref="B34:B35"/>
    <mergeCell ref="C34:C35"/>
    <mergeCell ref="E34:E35"/>
    <mergeCell ref="O29:O30"/>
    <mergeCell ref="P29:P30"/>
    <mergeCell ref="A31:A32"/>
    <mergeCell ref="B31:B32"/>
    <mergeCell ref="C31:C32"/>
    <mergeCell ref="E31:E32"/>
    <mergeCell ref="J31:J32"/>
    <mergeCell ref="K31:K32"/>
    <mergeCell ref="L31:L32"/>
    <mergeCell ref="M31:M32"/>
    <mergeCell ref="N31:N32"/>
    <mergeCell ref="O31:O32"/>
    <mergeCell ref="P31:P32"/>
    <mergeCell ref="D31:D32"/>
    <mergeCell ref="J29:J30"/>
    <mergeCell ref="K29:K30"/>
    <mergeCell ref="L29:L30"/>
    <mergeCell ref="M29:M30"/>
    <mergeCell ref="N29:N30"/>
    <mergeCell ref="A29:A30"/>
    <mergeCell ref="B29:B30"/>
    <mergeCell ref="C29:C30"/>
    <mergeCell ref="E29:E30"/>
    <mergeCell ref="O25:O26"/>
    <mergeCell ref="P25:P26"/>
    <mergeCell ref="A27:A28"/>
    <mergeCell ref="B27:B28"/>
    <mergeCell ref="C27:C28"/>
    <mergeCell ref="E27:E28"/>
    <mergeCell ref="J27:J28"/>
    <mergeCell ref="K27:K28"/>
    <mergeCell ref="L27:L28"/>
    <mergeCell ref="M27:M28"/>
    <mergeCell ref="N27:N28"/>
    <mergeCell ref="O27:O28"/>
    <mergeCell ref="P27:P28"/>
    <mergeCell ref="J25:J26"/>
    <mergeCell ref="K25:K26"/>
    <mergeCell ref="L25:L26"/>
    <mergeCell ref="M25:M26"/>
    <mergeCell ref="N25:N26"/>
    <mergeCell ref="A25:A26"/>
    <mergeCell ref="B25:B26"/>
    <mergeCell ref="C25:C26"/>
    <mergeCell ref="E25:E26"/>
    <mergeCell ref="O18:O21"/>
    <mergeCell ref="P18:P21"/>
    <mergeCell ref="E10:E17"/>
    <mergeCell ref="J10:J17"/>
    <mergeCell ref="K10:K17"/>
    <mergeCell ref="L10:L17"/>
    <mergeCell ref="A10:A17"/>
    <mergeCell ref="B10:B17"/>
    <mergeCell ref="C10:C17"/>
    <mergeCell ref="A18:A21"/>
    <mergeCell ref="B18:B21"/>
    <mergeCell ref="C18:C21"/>
    <mergeCell ref="E18:E21"/>
    <mergeCell ref="J18:J21"/>
    <mergeCell ref="K18:K21"/>
    <mergeCell ref="L18:L21"/>
    <mergeCell ref="M18:M21"/>
    <mergeCell ref="N18:N21"/>
    <mergeCell ref="N10:N17"/>
    <mergeCell ref="P3:P5"/>
    <mergeCell ref="F2:H2"/>
    <mergeCell ref="K3:K5"/>
    <mergeCell ref="L3:L5"/>
    <mergeCell ref="M3:M5"/>
    <mergeCell ref="N3:N5"/>
    <mergeCell ref="O3:O5"/>
    <mergeCell ref="O10:O17"/>
    <mergeCell ref="P10:P17"/>
    <mergeCell ref="A7:B7"/>
    <mergeCell ref="C3:C5"/>
    <mergeCell ref="B3:B5"/>
    <mergeCell ref="A3:A5"/>
    <mergeCell ref="F8:H8"/>
    <mergeCell ref="E3:E5"/>
    <mergeCell ref="J3:J5"/>
    <mergeCell ref="D3:D5"/>
    <mergeCell ref="M10:M17"/>
  </mergeCells>
  <conditionalFormatting sqref="J9">
    <cfRule type="expression" dxfId="3779" priority="15" stopIfTrue="1">
      <formula>ISBLANK(J9)</formula>
    </cfRule>
    <cfRule type="cellIs" dxfId="3778" priority="16" stopIfTrue="1" operator="equal">
      <formula>"No grades yet"</formula>
    </cfRule>
    <cfRule type="cellIs" dxfId="3777" priority="17" stopIfTrue="1" operator="greaterThanOrEqual">
      <formula>70</formula>
    </cfRule>
    <cfRule type="cellIs" dxfId="3776" priority="18" stopIfTrue="1" operator="between">
      <formula>60</formula>
      <formula>69.999</formula>
    </cfRule>
    <cfRule type="cellIs" dxfId="3775" priority="19" stopIfTrue="1" operator="between">
      <formula>50</formula>
      <formula>59.999</formula>
    </cfRule>
    <cfRule type="cellIs" dxfId="3774" priority="20" stopIfTrue="1" operator="between">
      <formula>40</formula>
      <formula>49.999</formula>
    </cfRule>
    <cfRule type="cellIs" dxfId="3773" priority="21" stopIfTrue="1" operator="lessThan">
      <formula>40</formula>
    </cfRule>
  </conditionalFormatting>
  <conditionalFormatting sqref="I3:I5">
    <cfRule type="expression" dxfId="3772" priority="29" stopIfTrue="1">
      <formula>ISBLANK(I3)</formula>
    </cfRule>
    <cfRule type="cellIs" dxfId="3771" priority="30" stopIfTrue="1" operator="equal">
      <formula>"No grades yet"</formula>
    </cfRule>
    <cfRule type="cellIs" dxfId="3770" priority="31" stopIfTrue="1" operator="greaterThanOrEqual">
      <formula>70</formula>
    </cfRule>
    <cfRule type="cellIs" dxfId="3769" priority="32" stopIfTrue="1" operator="between">
      <formula>60</formula>
      <formula>69.999</formula>
    </cfRule>
    <cfRule type="cellIs" dxfId="3768" priority="33" stopIfTrue="1" operator="between">
      <formula>50</formula>
      <formula>59.999</formula>
    </cfRule>
    <cfRule type="cellIs" dxfId="3767" priority="34" stopIfTrue="1" operator="between">
      <formula>40</formula>
      <formula>49.999</formula>
    </cfRule>
    <cfRule type="cellIs" dxfId="3766" priority="35" stopIfTrue="1" operator="lessThan">
      <formula>40</formula>
    </cfRule>
  </conditionalFormatting>
  <conditionalFormatting sqref="L3:L5">
    <cfRule type="expression" dxfId="3765" priority="36" stopIfTrue="1">
      <formula>ISBLANK(L3)</formula>
    </cfRule>
    <cfRule type="cellIs" dxfId="3764" priority="37" stopIfTrue="1" operator="equal">
      <formula>"No grades yet"</formula>
    </cfRule>
    <cfRule type="cellIs" dxfId="3763" priority="38" stopIfTrue="1" operator="greaterThanOrEqual">
      <formula>70</formula>
    </cfRule>
    <cfRule type="cellIs" dxfId="3762" priority="39" stopIfTrue="1" operator="between">
      <formula>60</formula>
      <formula>69.999</formula>
    </cfRule>
    <cfRule type="cellIs" dxfId="3761" priority="40" stopIfTrue="1" operator="between">
      <formula>50</formula>
      <formula>59.999</formula>
    </cfRule>
    <cfRule type="cellIs" dxfId="3760" priority="41" stopIfTrue="1" operator="between">
      <formula>40</formula>
      <formula>49.999</formula>
    </cfRule>
    <cfRule type="cellIs" dxfId="3759" priority="42" stopIfTrue="1" operator="lessThan">
      <formula>40</formula>
    </cfRule>
  </conditionalFormatting>
  <conditionalFormatting sqref="I9">
    <cfRule type="expression" dxfId="3422" priority="379" stopIfTrue="1">
      <formula>ISBLANK(I9)</formula>
    </cfRule>
    <cfRule type="cellIs" dxfId="3421" priority="380" stopIfTrue="1" operator="equal">
      <formula>"No grades yet"</formula>
    </cfRule>
    <cfRule type="cellIs" dxfId="3420" priority="381" stopIfTrue="1" operator="greaterThanOrEqual">
      <formula>70</formula>
    </cfRule>
    <cfRule type="cellIs" dxfId="3419" priority="382" stopIfTrue="1" operator="between">
      <formula>60</formula>
      <formula>69.999</formula>
    </cfRule>
    <cfRule type="cellIs" dxfId="3418" priority="383" stopIfTrue="1" operator="between">
      <formula>50</formula>
      <formula>59.999</formula>
    </cfRule>
    <cfRule type="cellIs" dxfId="3417" priority="384" stopIfTrue="1" operator="between">
      <formula>40</formula>
      <formula>49.999</formula>
    </cfRule>
    <cfRule type="cellIs" dxfId="3416" priority="385" stopIfTrue="1" operator="lessThan">
      <formula>40</formula>
    </cfRule>
  </conditionalFormatting>
  <conditionalFormatting sqref="L9">
    <cfRule type="expression" dxfId="3415" priority="386" stopIfTrue="1">
      <formula>ISBLANK(L9)</formula>
    </cfRule>
    <cfRule type="cellIs" dxfId="3414" priority="387" stopIfTrue="1" operator="equal">
      <formula>"No grades yet"</formula>
    </cfRule>
    <cfRule type="cellIs" dxfId="3413" priority="388" stopIfTrue="1" operator="greaterThanOrEqual">
      <formula>70</formula>
    </cfRule>
    <cfRule type="cellIs" dxfId="3412" priority="389" stopIfTrue="1" operator="between">
      <formula>60</formula>
      <formula>69.999</formula>
    </cfRule>
    <cfRule type="cellIs" dxfId="3411" priority="390" stopIfTrue="1" operator="between">
      <formula>50</formula>
      <formula>59.999</formula>
    </cfRule>
    <cfRule type="cellIs" dxfId="3410" priority="391" stopIfTrue="1" operator="between">
      <formula>40</formula>
      <formula>49.999</formula>
    </cfRule>
    <cfRule type="cellIs" dxfId="3409" priority="392" stopIfTrue="1" operator="lessThan">
      <formula>40</formula>
    </cfRule>
  </conditionalFormatting>
  <conditionalFormatting sqref="I10:I17">
    <cfRule type="expression" dxfId="3408" priority="393" stopIfTrue="1">
      <formula>ISBLANK(I10)</formula>
    </cfRule>
    <cfRule type="cellIs" dxfId="3407" priority="394" stopIfTrue="1" operator="equal">
      <formula>"No grades yet"</formula>
    </cfRule>
    <cfRule type="cellIs" dxfId="3406" priority="395" stopIfTrue="1" operator="greaterThanOrEqual">
      <formula>70</formula>
    </cfRule>
    <cfRule type="cellIs" dxfId="3405" priority="396" stopIfTrue="1" operator="between">
      <formula>60</formula>
      <formula>69.999</formula>
    </cfRule>
    <cfRule type="cellIs" dxfId="3404" priority="397" stopIfTrue="1" operator="between">
      <formula>50</formula>
      <formula>59.999</formula>
    </cfRule>
    <cfRule type="cellIs" dxfId="3403" priority="398" stopIfTrue="1" operator="between">
      <formula>40</formula>
      <formula>49.999</formula>
    </cfRule>
    <cfRule type="cellIs" dxfId="3402" priority="399" stopIfTrue="1" operator="lessThan">
      <formula>40</formula>
    </cfRule>
  </conditionalFormatting>
  <conditionalFormatting sqref="L10:L17">
    <cfRule type="expression" dxfId="3401" priority="400" stopIfTrue="1">
      <formula>ISBLANK(L10)</formula>
    </cfRule>
    <cfRule type="cellIs" dxfId="3400" priority="401" stopIfTrue="1" operator="equal">
      <formula>"No grades yet"</formula>
    </cfRule>
    <cfRule type="cellIs" dxfId="3399" priority="402" stopIfTrue="1" operator="greaterThanOrEqual">
      <formula>70</formula>
    </cfRule>
    <cfRule type="cellIs" dxfId="3398" priority="403" stopIfTrue="1" operator="between">
      <formula>60</formula>
      <formula>69.999</formula>
    </cfRule>
    <cfRule type="cellIs" dxfId="3397" priority="404" stopIfTrue="1" operator="between">
      <formula>50</formula>
      <formula>59.999</formula>
    </cfRule>
    <cfRule type="cellIs" dxfId="3396" priority="405" stopIfTrue="1" operator="between">
      <formula>40</formula>
      <formula>49.999</formula>
    </cfRule>
    <cfRule type="cellIs" dxfId="3395" priority="406" stopIfTrue="1" operator="lessThan">
      <formula>40</formula>
    </cfRule>
  </conditionalFormatting>
  <conditionalFormatting sqref="I18:I21">
    <cfRule type="expression" dxfId="3394" priority="407" stopIfTrue="1">
      <formula>ISBLANK(I18)</formula>
    </cfRule>
    <cfRule type="cellIs" dxfId="3393" priority="408" stopIfTrue="1" operator="equal">
      <formula>"No grades yet"</formula>
    </cfRule>
    <cfRule type="cellIs" dxfId="3392" priority="409" stopIfTrue="1" operator="greaterThanOrEqual">
      <formula>70</formula>
    </cfRule>
    <cfRule type="cellIs" dxfId="3391" priority="410" stopIfTrue="1" operator="between">
      <formula>60</formula>
      <formula>69.999</formula>
    </cfRule>
    <cfRule type="cellIs" dxfId="3390" priority="411" stopIfTrue="1" operator="between">
      <formula>50</formula>
      <formula>59.999</formula>
    </cfRule>
    <cfRule type="cellIs" dxfId="3389" priority="412" stopIfTrue="1" operator="between">
      <formula>40</formula>
      <formula>49.999</formula>
    </cfRule>
    <cfRule type="cellIs" dxfId="3388" priority="413" stopIfTrue="1" operator="lessThan">
      <formula>40</formula>
    </cfRule>
  </conditionalFormatting>
  <conditionalFormatting sqref="L18:L21">
    <cfRule type="expression" dxfId="3387" priority="414" stopIfTrue="1">
      <formula>ISBLANK(L18)</formula>
    </cfRule>
    <cfRule type="cellIs" dxfId="3386" priority="415" stopIfTrue="1" operator="equal">
      <formula>"No grades yet"</formula>
    </cfRule>
    <cfRule type="cellIs" dxfId="3385" priority="416" stopIfTrue="1" operator="greaterThanOrEqual">
      <formula>70</formula>
    </cfRule>
    <cfRule type="cellIs" dxfId="3384" priority="417" stopIfTrue="1" operator="between">
      <formula>60</formula>
      <formula>69.999</formula>
    </cfRule>
    <cfRule type="cellIs" dxfId="3383" priority="418" stopIfTrue="1" operator="between">
      <formula>50</formula>
      <formula>59.999</formula>
    </cfRule>
    <cfRule type="cellIs" dxfId="3382" priority="419" stopIfTrue="1" operator="between">
      <formula>40</formula>
      <formula>49.999</formula>
    </cfRule>
    <cfRule type="cellIs" dxfId="3381" priority="420" stopIfTrue="1" operator="lessThan">
      <formula>40</formula>
    </cfRule>
  </conditionalFormatting>
  <conditionalFormatting sqref="I22">
    <cfRule type="expression" dxfId="3380" priority="421" stopIfTrue="1">
      <formula>ISBLANK(I22)</formula>
    </cfRule>
    <cfRule type="cellIs" dxfId="3379" priority="422" stopIfTrue="1" operator="equal">
      <formula>"No grades yet"</formula>
    </cfRule>
    <cfRule type="cellIs" dxfId="3378" priority="423" stopIfTrue="1" operator="greaterThanOrEqual">
      <formula>70</formula>
    </cfRule>
    <cfRule type="cellIs" dxfId="3377" priority="424" stopIfTrue="1" operator="between">
      <formula>60</formula>
      <formula>69.999</formula>
    </cfRule>
    <cfRule type="cellIs" dxfId="3376" priority="425" stopIfTrue="1" operator="between">
      <formula>50</formula>
      <formula>59.999</formula>
    </cfRule>
    <cfRule type="cellIs" dxfId="3375" priority="426" stopIfTrue="1" operator="between">
      <formula>40</formula>
      <formula>49.999</formula>
    </cfRule>
    <cfRule type="cellIs" dxfId="3374" priority="427" stopIfTrue="1" operator="lessThan">
      <formula>40</formula>
    </cfRule>
  </conditionalFormatting>
  <conditionalFormatting sqref="L22">
    <cfRule type="expression" dxfId="3373" priority="428" stopIfTrue="1">
      <formula>ISBLANK(L22)</formula>
    </cfRule>
    <cfRule type="cellIs" dxfId="3372" priority="429" stopIfTrue="1" operator="equal">
      <formula>"No grades yet"</formula>
    </cfRule>
    <cfRule type="cellIs" dxfId="3371" priority="430" stopIfTrue="1" operator="greaterThanOrEqual">
      <formula>70</formula>
    </cfRule>
    <cfRule type="cellIs" dxfId="3370" priority="431" stopIfTrue="1" operator="between">
      <formula>60</formula>
      <formula>69.999</formula>
    </cfRule>
    <cfRule type="cellIs" dxfId="3369" priority="432" stopIfTrue="1" operator="between">
      <formula>50</formula>
      <formula>59.999</formula>
    </cfRule>
    <cfRule type="cellIs" dxfId="3368" priority="433" stopIfTrue="1" operator="between">
      <formula>40</formula>
      <formula>49.999</formula>
    </cfRule>
    <cfRule type="cellIs" dxfId="3367" priority="434" stopIfTrue="1" operator="lessThan">
      <formula>40</formula>
    </cfRule>
  </conditionalFormatting>
  <conditionalFormatting sqref="I23">
    <cfRule type="expression" dxfId="3366" priority="435" stopIfTrue="1">
      <formula>ISBLANK(I23)</formula>
    </cfRule>
    <cfRule type="cellIs" dxfId="3365" priority="436" stopIfTrue="1" operator="equal">
      <formula>"No grades yet"</formula>
    </cfRule>
    <cfRule type="cellIs" dxfId="3364" priority="437" stopIfTrue="1" operator="greaterThanOrEqual">
      <formula>70</formula>
    </cfRule>
    <cfRule type="cellIs" dxfId="3363" priority="438" stopIfTrue="1" operator="between">
      <formula>60</formula>
      <formula>69.999</formula>
    </cfRule>
    <cfRule type="cellIs" dxfId="3362" priority="439" stopIfTrue="1" operator="between">
      <formula>50</formula>
      <formula>59.999</formula>
    </cfRule>
    <cfRule type="cellIs" dxfId="3361" priority="440" stopIfTrue="1" operator="between">
      <formula>40</formula>
      <formula>49.999</formula>
    </cfRule>
    <cfRule type="cellIs" dxfId="3360" priority="441" stopIfTrue="1" operator="lessThan">
      <formula>40</formula>
    </cfRule>
  </conditionalFormatting>
  <conditionalFormatting sqref="L23">
    <cfRule type="expression" dxfId="3359" priority="442" stopIfTrue="1">
      <formula>ISBLANK(L23)</formula>
    </cfRule>
    <cfRule type="cellIs" dxfId="3358" priority="443" stopIfTrue="1" operator="equal">
      <formula>"No grades yet"</formula>
    </cfRule>
    <cfRule type="cellIs" dxfId="3357" priority="444" stopIfTrue="1" operator="greaterThanOrEqual">
      <formula>70</formula>
    </cfRule>
    <cfRule type="cellIs" dxfId="3356" priority="445" stopIfTrue="1" operator="between">
      <formula>60</formula>
      <formula>69.999</formula>
    </cfRule>
    <cfRule type="cellIs" dxfId="3355" priority="446" stopIfTrue="1" operator="between">
      <formula>50</formula>
      <formula>59.999</formula>
    </cfRule>
    <cfRule type="cellIs" dxfId="3354" priority="447" stopIfTrue="1" operator="between">
      <formula>40</formula>
      <formula>49.999</formula>
    </cfRule>
    <cfRule type="cellIs" dxfId="3353" priority="448" stopIfTrue="1" operator="lessThan">
      <formula>40</formula>
    </cfRule>
  </conditionalFormatting>
  <conditionalFormatting sqref="I24">
    <cfRule type="expression" dxfId="3352" priority="449" stopIfTrue="1">
      <formula>ISBLANK(I24)</formula>
    </cfRule>
    <cfRule type="cellIs" dxfId="3351" priority="450" stopIfTrue="1" operator="equal">
      <formula>"No grades yet"</formula>
    </cfRule>
    <cfRule type="cellIs" dxfId="3350" priority="451" stopIfTrue="1" operator="greaterThanOrEqual">
      <formula>70</formula>
    </cfRule>
    <cfRule type="cellIs" dxfId="3349" priority="452" stopIfTrue="1" operator="between">
      <formula>60</formula>
      <formula>69.999</formula>
    </cfRule>
    <cfRule type="cellIs" dxfId="3348" priority="453" stopIfTrue="1" operator="between">
      <formula>50</formula>
      <formula>59.999</formula>
    </cfRule>
    <cfRule type="cellIs" dxfId="3347" priority="454" stopIfTrue="1" operator="between">
      <formula>40</formula>
      <formula>49.999</formula>
    </cfRule>
    <cfRule type="cellIs" dxfId="3346" priority="455" stopIfTrue="1" operator="lessThan">
      <formula>40</formula>
    </cfRule>
  </conditionalFormatting>
  <conditionalFormatting sqref="L24">
    <cfRule type="expression" dxfId="3345" priority="456" stopIfTrue="1">
      <formula>ISBLANK(L24)</formula>
    </cfRule>
    <cfRule type="cellIs" dxfId="3344" priority="457" stopIfTrue="1" operator="equal">
      <formula>"No grades yet"</formula>
    </cfRule>
    <cfRule type="cellIs" dxfId="3343" priority="458" stopIfTrue="1" operator="greaterThanOrEqual">
      <formula>70</formula>
    </cfRule>
    <cfRule type="cellIs" dxfId="3342" priority="459" stopIfTrue="1" operator="between">
      <formula>60</formula>
      <formula>69.999</formula>
    </cfRule>
    <cfRule type="cellIs" dxfId="3341" priority="460" stopIfTrue="1" operator="between">
      <formula>50</formula>
      <formula>59.999</formula>
    </cfRule>
    <cfRule type="cellIs" dxfId="3340" priority="461" stopIfTrue="1" operator="between">
      <formula>40</formula>
      <formula>49.999</formula>
    </cfRule>
    <cfRule type="cellIs" dxfId="3339" priority="462" stopIfTrue="1" operator="lessThan">
      <formula>40</formula>
    </cfRule>
  </conditionalFormatting>
  <conditionalFormatting sqref="I25:I26">
    <cfRule type="expression" dxfId="3338" priority="463" stopIfTrue="1">
      <formula>ISBLANK(I25)</formula>
    </cfRule>
  </conditionalFormatting>
  <conditionalFormatting sqref="I25:I26">
    <cfRule type="cellIs" dxfId="3337" priority="464" stopIfTrue="1" operator="equal">
      <formula>"No grades yet"</formula>
    </cfRule>
  </conditionalFormatting>
  <conditionalFormatting sqref="I25:I26">
    <cfRule type="cellIs" dxfId="3336" priority="465" stopIfTrue="1" operator="greaterThanOrEqual">
      <formula>70</formula>
    </cfRule>
  </conditionalFormatting>
  <conditionalFormatting sqref="I25:I26">
    <cfRule type="cellIs" dxfId="3335" priority="466" stopIfTrue="1" operator="between">
      <formula>60</formula>
      <formula>69.999</formula>
    </cfRule>
  </conditionalFormatting>
  <conditionalFormatting sqref="I25:I26">
    <cfRule type="cellIs" dxfId="3334" priority="467" stopIfTrue="1" operator="between">
      <formula>50</formula>
      <formula>59.999</formula>
    </cfRule>
  </conditionalFormatting>
  <conditionalFormatting sqref="I25:I26">
    <cfRule type="cellIs" dxfId="3333" priority="468" stopIfTrue="1" operator="between">
      <formula>40</formula>
      <formula>49.999</formula>
    </cfRule>
  </conditionalFormatting>
  <conditionalFormatting sqref="I25:I26">
    <cfRule type="cellIs" dxfId="3332" priority="469" stopIfTrue="1" operator="lessThan">
      <formula>40</formula>
    </cfRule>
  </conditionalFormatting>
  <conditionalFormatting sqref="L25:L26">
    <cfRule type="expression" dxfId="3331" priority="470" stopIfTrue="1">
      <formula>ISBLANK(L25)</formula>
    </cfRule>
  </conditionalFormatting>
  <conditionalFormatting sqref="L25:L26">
    <cfRule type="cellIs" dxfId="3330" priority="471" stopIfTrue="1" operator="equal">
      <formula>"No grades yet"</formula>
    </cfRule>
  </conditionalFormatting>
  <conditionalFormatting sqref="L25:L26">
    <cfRule type="cellIs" dxfId="3329" priority="472" stopIfTrue="1" operator="greaterThanOrEqual">
      <formula>70</formula>
    </cfRule>
  </conditionalFormatting>
  <conditionalFormatting sqref="L25:L26">
    <cfRule type="cellIs" dxfId="3328" priority="473" stopIfTrue="1" operator="between">
      <formula>60</formula>
      <formula>69.999</formula>
    </cfRule>
  </conditionalFormatting>
  <conditionalFormatting sqref="L25:L26">
    <cfRule type="cellIs" dxfId="3327" priority="474" stopIfTrue="1" operator="between">
      <formula>50</formula>
      <formula>59.999</formula>
    </cfRule>
  </conditionalFormatting>
  <conditionalFormatting sqref="L25:L26">
    <cfRule type="cellIs" dxfId="3326" priority="475" stopIfTrue="1" operator="between">
      <formula>40</formula>
      <formula>49.999</formula>
    </cfRule>
  </conditionalFormatting>
  <conditionalFormatting sqref="L25:L26">
    <cfRule type="cellIs" dxfId="3325" priority="476" stopIfTrue="1" operator="lessThan">
      <formula>40</formula>
    </cfRule>
  </conditionalFormatting>
  <conditionalFormatting sqref="I27:I28">
    <cfRule type="expression" dxfId="3324" priority="477" stopIfTrue="1">
      <formula>ISBLANK(I27)</formula>
    </cfRule>
  </conditionalFormatting>
  <conditionalFormatting sqref="I27:I28">
    <cfRule type="cellIs" dxfId="3323" priority="478" stopIfTrue="1" operator="equal">
      <formula>"No grades yet"</formula>
    </cfRule>
  </conditionalFormatting>
  <conditionalFormatting sqref="I27:I28">
    <cfRule type="cellIs" dxfId="3322" priority="479" stopIfTrue="1" operator="greaterThanOrEqual">
      <formula>70</formula>
    </cfRule>
  </conditionalFormatting>
  <conditionalFormatting sqref="I27:I28">
    <cfRule type="cellIs" dxfId="3321" priority="480" stopIfTrue="1" operator="between">
      <formula>60</formula>
      <formula>69.999</formula>
    </cfRule>
  </conditionalFormatting>
  <conditionalFormatting sqref="I27:I28">
    <cfRule type="cellIs" dxfId="3320" priority="481" stopIfTrue="1" operator="between">
      <formula>50</formula>
      <formula>59.999</formula>
    </cfRule>
  </conditionalFormatting>
  <conditionalFormatting sqref="I27:I28">
    <cfRule type="cellIs" dxfId="3319" priority="482" stopIfTrue="1" operator="between">
      <formula>40</formula>
      <formula>49.999</formula>
    </cfRule>
  </conditionalFormatting>
  <conditionalFormatting sqref="I27:I28">
    <cfRule type="cellIs" dxfId="3318" priority="483" stopIfTrue="1" operator="lessThan">
      <formula>40</formula>
    </cfRule>
  </conditionalFormatting>
  <conditionalFormatting sqref="L27:L28">
    <cfRule type="expression" dxfId="3317" priority="484" stopIfTrue="1">
      <formula>ISBLANK(L27)</formula>
    </cfRule>
  </conditionalFormatting>
  <conditionalFormatting sqref="L27:L28">
    <cfRule type="cellIs" dxfId="3316" priority="485" stopIfTrue="1" operator="equal">
      <formula>"No grades yet"</formula>
    </cfRule>
  </conditionalFormatting>
  <conditionalFormatting sqref="L27:L28">
    <cfRule type="cellIs" dxfId="3315" priority="486" stopIfTrue="1" operator="greaterThanOrEqual">
      <formula>70</formula>
    </cfRule>
  </conditionalFormatting>
  <conditionalFormatting sqref="L27:L28">
    <cfRule type="cellIs" dxfId="3314" priority="487" stopIfTrue="1" operator="between">
      <formula>60</formula>
      <formula>69.999</formula>
    </cfRule>
  </conditionalFormatting>
  <conditionalFormatting sqref="L27:L28">
    <cfRule type="cellIs" dxfId="3313" priority="488" stopIfTrue="1" operator="between">
      <formula>50</formula>
      <formula>59.999</formula>
    </cfRule>
  </conditionalFormatting>
  <conditionalFormatting sqref="L27:L28">
    <cfRule type="cellIs" dxfId="3312" priority="489" stopIfTrue="1" operator="between">
      <formula>40</formula>
      <formula>49.999</formula>
    </cfRule>
  </conditionalFormatting>
  <conditionalFormatting sqref="L27:L28">
    <cfRule type="cellIs" dxfId="3311" priority="490" stopIfTrue="1" operator="lessThan">
      <formula>40</formula>
    </cfRule>
  </conditionalFormatting>
  <conditionalFormatting sqref="I29:I30">
    <cfRule type="expression" dxfId="3310" priority="491" stopIfTrue="1">
      <formula>ISBLANK(I29)</formula>
    </cfRule>
  </conditionalFormatting>
  <conditionalFormatting sqref="I29:I30">
    <cfRule type="cellIs" dxfId="3309" priority="492" stopIfTrue="1" operator="equal">
      <formula>"No grades yet"</formula>
    </cfRule>
  </conditionalFormatting>
  <conditionalFormatting sqref="I29:I30">
    <cfRule type="cellIs" dxfId="3308" priority="493" stopIfTrue="1" operator="greaterThanOrEqual">
      <formula>70</formula>
    </cfRule>
  </conditionalFormatting>
  <conditionalFormatting sqref="I29:I30">
    <cfRule type="cellIs" dxfId="3307" priority="494" stopIfTrue="1" operator="between">
      <formula>60</formula>
      <formula>69.999</formula>
    </cfRule>
  </conditionalFormatting>
  <conditionalFormatting sqref="I29:I30">
    <cfRule type="cellIs" dxfId="3306" priority="495" stopIfTrue="1" operator="between">
      <formula>50</formula>
      <formula>59.999</formula>
    </cfRule>
  </conditionalFormatting>
  <conditionalFormatting sqref="I29:I30">
    <cfRule type="cellIs" dxfId="3305" priority="496" stopIfTrue="1" operator="between">
      <formula>40</formula>
      <formula>49.999</formula>
    </cfRule>
  </conditionalFormatting>
  <conditionalFormatting sqref="I29:I30">
    <cfRule type="cellIs" dxfId="3304" priority="497" stopIfTrue="1" operator="lessThan">
      <formula>40</formula>
    </cfRule>
  </conditionalFormatting>
  <conditionalFormatting sqref="L29:L30">
    <cfRule type="expression" dxfId="3303" priority="498" stopIfTrue="1">
      <formula>ISBLANK(L29)</formula>
    </cfRule>
  </conditionalFormatting>
  <conditionalFormatting sqref="L29:L30">
    <cfRule type="cellIs" dxfId="3302" priority="499" stopIfTrue="1" operator="equal">
      <formula>"No grades yet"</formula>
    </cfRule>
  </conditionalFormatting>
  <conditionalFormatting sqref="L29:L30">
    <cfRule type="cellIs" dxfId="3301" priority="500" stopIfTrue="1" operator="greaterThanOrEqual">
      <formula>70</formula>
    </cfRule>
  </conditionalFormatting>
  <conditionalFormatting sqref="L29:L30">
    <cfRule type="cellIs" dxfId="3300" priority="501" stopIfTrue="1" operator="between">
      <formula>60</formula>
      <formula>69.999</formula>
    </cfRule>
  </conditionalFormatting>
  <conditionalFormatting sqref="L29:L30">
    <cfRule type="cellIs" dxfId="3299" priority="502" stopIfTrue="1" operator="between">
      <formula>50</formula>
      <formula>59.999</formula>
    </cfRule>
  </conditionalFormatting>
  <conditionalFormatting sqref="L29:L30">
    <cfRule type="cellIs" dxfId="3298" priority="503" stopIfTrue="1" operator="between">
      <formula>40</formula>
      <formula>49.999</formula>
    </cfRule>
  </conditionalFormatting>
  <conditionalFormatting sqref="L29:L30">
    <cfRule type="cellIs" dxfId="3297" priority="504" stopIfTrue="1" operator="lessThan">
      <formula>40</formula>
    </cfRule>
  </conditionalFormatting>
  <conditionalFormatting sqref="I31:I32">
    <cfRule type="expression" dxfId="3296" priority="505" stopIfTrue="1">
      <formula>ISBLANK(I31)</formula>
    </cfRule>
  </conditionalFormatting>
  <conditionalFormatting sqref="I31:I32">
    <cfRule type="cellIs" dxfId="3295" priority="506" stopIfTrue="1" operator="equal">
      <formula>"No grades yet"</formula>
    </cfRule>
  </conditionalFormatting>
  <conditionalFormatting sqref="I31:I32">
    <cfRule type="cellIs" dxfId="3294" priority="507" stopIfTrue="1" operator="greaterThanOrEqual">
      <formula>70</formula>
    </cfRule>
  </conditionalFormatting>
  <conditionalFormatting sqref="I31:I32">
    <cfRule type="cellIs" dxfId="3293" priority="508" stopIfTrue="1" operator="between">
      <formula>60</formula>
      <formula>69.999</formula>
    </cfRule>
  </conditionalFormatting>
  <conditionalFormatting sqref="I31:I32">
    <cfRule type="cellIs" dxfId="3292" priority="509" stopIfTrue="1" operator="between">
      <formula>50</formula>
      <formula>59.999</formula>
    </cfRule>
  </conditionalFormatting>
  <conditionalFormatting sqref="I31:I32">
    <cfRule type="cellIs" dxfId="3291" priority="510" stopIfTrue="1" operator="between">
      <formula>40</formula>
      <formula>49.999</formula>
    </cfRule>
  </conditionalFormatting>
  <conditionalFormatting sqref="I31:I32">
    <cfRule type="cellIs" dxfId="3290" priority="511" stopIfTrue="1" operator="lessThan">
      <formula>40</formula>
    </cfRule>
  </conditionalFormatting>
  <conditionalFormatting sqref="L31:L32">
    <cfRule type="expression" dxfId="3289" priority="512" stopIfTrue="1">
      <formula>ISBLANK(L31)</formula>
    </cfRule>
  </conditionalFormatting>
  <conditionalFormatting sqref="L31:L32">
    <cfRule type="cellIs" dxfId="3288" priority="513" stopIfTrue="1" operator="equal">
      <formula>"No grades yet"</formula>
    </cfRule>
  </conditionalFormatting>
  <conditionalFormatting sqref="L31:L32">
    <cfRule type="cellIs" dxfId="3287" priority="514" stopIfTrue="1" operator="greaterThanOrEqual">
      <formula>70</formula>
    </cfRule>
  </conditionalFormatting>
  <conditionalFormatting sqref="L31:L32">
    <cfRule type="cellIs" dxfId="3286" priority="515" stopIfTrue="1" operator="between">
      <formula>60</formula>
      <formula>69.999</formula>
    </cfRule>
  </conditionalFormatting>
  <conditionalFormatting sqref="L31:L32">
    <cfRule type="cellIs" dxfId="3285" priority="516" stopIfTrue="1" operator="between">
      <formula>50</formula>
      <formula>59.999</formula>
    </cfRule>
  </conditionalFormatting>
  <conditionalFormatting sqref="L31:L32">
    <cfRule type="cellIs" dxfId="3284" priority="517" stopIfTrue="1" operator="between">
      <formula>40</formula>
      <formula>49.999</formula>
    </cfRule>
  </conditionalFormatting>
  <conditionalFormatting sqref="L31:L32">
    <cfRule type="cellIs" dxfId="3283" priority="518" stopIfTrue="1" operator="lessThan">
      <formula>40</formula>
    </cfRule>
  </conditionalFormatting>
  <conditionalFormatting sqref="I33">
    <cfRule type="expression" dxfId="3282" priority="519" stopIfTrue="1">
      <formula>ISBLANK(I33)</formula>
    </cfRule>
  </conditionalFormatting>
  <conditionalFormatting sqref="I33">
    <cfRule type="cellIs" dxfId="3281" priority="520" stopIfTrue="1" operator="equal">
      <formula>"No grades yet"</formula>
    </cfRule>
  </conditionalFormatting>
  <conditionalFormatting sqref="I33">
    <cfRule type="cellIs" dxfId="3280" priority="521" stopIfTrue="1" operator="greaterThanOrEqual">
      <formula>70</formula>
    </cfRule>
  </conditionalFormatting>
  <conditionalFormatting sqref="I33">
    <cfRule type="cellIs" dxfId="3279" priority="522" stopIfTrue="1" operator="between">
      <formula>60</formula>
      <formula>69.999</formula>
    </cfRule>
  </conditionalFormatting>
  <conditionalFormatting sqref="I33">
    <cfRule type="cellIs" dxfId="3278" priority="523" stopIfTrue="1" operator="between">
      <formula>50</formula>
      <formula>59.999</formula>
    </cfRule>
  </conditionalFormatting>
  <conditionalFormatting sqref="I33">
    <cfRule type="cellIs" dxfId="3277" priority="524" stopIfTrue="1" operator="between">
      <formula>40</formula>
      <formula>49.999</formula>
    </cfRule>
  </conditionalFormatting>
  <conditionalFormatting sqref="I33">
    <cfRule type="cellIs" dxfId="3276" priority="525" stopIfTrue="1" operator="lessThan">
      <formula>40</formula>
    </cfRule>
  </conditionalFormatting>
  <conditionalFormatting sqref="L33">
    <cfRule type="expression" dxfId="3275" priority="526" stopIfTrue="1">
      <formula>ISBLANK(L33)</formula>
    </cfRule>
  </conditionalFormatting>
  <conditionalFormatting sqref="L33">
    <cfRule type="cellIs" dxfId="3274" priority="527" stopIfTrue="1" operator="equal">
      <formula>"No grades yet"</formula>
    </cfRule>
  </conditionalFormatting>
  <conditionalFormatting sqref="L33">
    <cfRule type="cellIs" dxfId="3273" priority="528" stopIfTrue="1" operator="greaterThanOrEqual">
      <formula>70</formula>
    </cfRule>
  </conditionalFormatting>
  <conditionalFormatting sqref="L33">
    <cfRule type="cellIs" dxfId="3272" priority="529" stopIfTrue="1" operator="between">
      <formula>60</formula>
      <formula>69.999</formula>
    </cfRule>
  </conditionalFormatting>
  <conditionalFormatting sqref="L33">
    <cfRule type="cellIs" dxfId="3271" priority="530" stopIfTrue="1" operator="between">
      <formula>50</formula>
      <formula>59.999</formula>
    </cfRule>
  </conditionalFormatting>
  <conditionalFormatting sqref="L33">
    <cfRule type="cellIs" dxfId="3270" priority="531" stopIfTrue="1" operator="between">
      <formula>40</formula>
      <formula>49.999</formula>
    </cfRule>
  </conditionalFormatting>
  <conditionalFormatting sqref="L33">
    <cfRule type="cellIs" dxfId="3269" priority="532" stopIfTrue="1" operator="lessThan">
      <formula>40</formula>
    </cfRule>
  </conditionalFormatting>
  <conditionalFormatting sqref="I34:I35">
    <cfRule type="expression" dxfId="3268" priority="533" stopIfTrue="1">
      <formula>ISBLANK(I34)</formula>
    </cfRule>
  </conditionalFormatting>
  <conditionalFormatting sqref="I34:I35">
    <cfRule type="cellIs" dxfId="3267" priority="534" stopIfTrue="1" operator="equal">
      <formula>"No grades yet"</formula>
    </cfRule>
  </conditionalFormatting>
  <conditionalFormatting sqref="I34:I35">
    <cfRule type="cellIs" dxfId="3266" priority="535" stopIfTrue="1" operator="greaterThanOrEqual">
      <formula>70</formula>
    </cfRule>
  </conditionalFormatting>
  <conditionalFormatting sqref="I34:I35">
    <cfRule type="cellIs" dxfId="3265" priority="536" stopIfTrue="1" operator="between">
      <formula>60</formula>
      <formula>69.999</formula>
    </cfRule>
  </conditionalFormatting>
  <conditionalFormatting sqref="I34:I35">
    <cfRule type="cellIs" dxfId="3264" priority="537" stopIfTrue="1" operator="between">
      <formula>50</formula>
      <formula>59.999</formula>
    </cfRule>
  </conditionalFormatting>
  <conditionalFormatting sqref="I34:I35">
    <cfRule type="cellIs" dxfId="3263" priority="538" stopIfTrue="1" operator="between">
      <formula>40</formula>
      <formula>49.999</formula>
    </cfRule>
  </conditionalFormatting>
  <conditionalFormatting sqref="I34:I35">
    <cfRule type="cellIs" dxfId="3262" priority="539" stopIfTrue="1" operator="lessThan">
      <formula>40</formula>
    </cfRule>
  </conditionalFormatting>
  <conditionalFormatting sqref="L34:L35">
    <cfRule type="expression" dxfId="3261" priority="540" stopIfTrue="1">
      <formula>ISBLANK(L34)</formula>
    </cfRule>
  </conditionalFormatting>
  <conditionalFormatting sqref="L34:L35">
    <cfRule type="cellIs" dxfId="3260" priority="541" stopIfTrue="1" operator="equal">
      <formula>"No grades yet"</formula>
    </cfRule>
  </conditionalFormatting>
  <conditionalFormatting sqref="L34:L35">
    <cfRule type="cellIs" dxfId="3259" priority="542" stopIfTrue="1" operator="greaterThanOrEqual">
      <formula>70</formula>
    </cfRule>
  </conditionalFormatting>
  <conditionalFormatting sqref="L34:L35">
    <cfRule type="cellIs" dxfId="3258" priority="543" stopIfTrue="1" operator="between">
      <formula>60</formula>
      <formula>69.999</formula>
    </cfRule>
  </conditionalFormatting>
  <conditionalFormatting sqref="L34:L35">
    <cfRule type="cellIs" dxfId="3257" priority="544" stopIfTrue="1" operator="between">
      <formula>50</formula>
      <formula>59.999</formula>
    </cfRule>
  </conditionalFormatting>
  <conditionalFormatting sqref="L34:L35">
    <cfRule type="cellIs" dxfId="3256" priority="545" stopIfTrue="1" operator="between">
      <formula>40</formula>
      <formula>49.999</formula>
    </cfRule>
  </conditionalFormatting>
  <conditionalFormatting sqref="L34:L35">
    <cfRule type="cellIs" dxfId="3255" priority="546" stopIfTrue="1" operator="lessThan">
      <formula>40</formula>
    </cfRule>
  </conditionalFormatting>
  <conditionalFormatting sqref="I36:I37">
    <cfRule type="expression" dxfId="3254" priority="547" stopIfTrue="1">
      <formula>ISBLANK(I36)</formula>
    </cfRule>
  </conditionalFormatting>
  <conditionalFormatting sqref="I36:I37">
    <cfRule type="cellIs" dxfId="3253" priority="548" stopIfTrue="1" operator="equal">
      <formula>"No grades yet"</formula>
    </cfRule>
  </conditionalFormatting>
  <conditionalFormatting sqref="I36:I37">
    <cfRule type="cellIs" dxfId="3252" priority="549" stopIfTrue="1" operator="greaterThanOrEqual">
      <formula>70</formula>
    </cfRule>
  </conditionalFormatting>
  <conditionalFormatting sqref="I36:I37">
    <cfRule type="cellIs" dxfId="3251" priority="550" stopIfTrue="1" operator="between">
      <formula>60</formula>
      <formula>69.999</formula>
    </cfRule>
  </conditionalFormatting>
  <conditionalFormatting sqref="I36:I37">
    <cfRule type="cellIs" dxfId="3250" priority="551" stopIfTrue="1" operator="between">
      <formula>50</formula>
      <formula>59.999</formula>
    </cfRule>
  </conditionalFormatting>
  <conditionalFormatting sqref="I36:I37">
    <cfRule type="cellIs" dxfId="3249" priority="552" stopIfTrue="1" operator="between">
      <formula>40</formula>
      <formula>49.999</formula>
    </cfRule>
  </conditionalFormatting>
  <conditionalFormatting sqref="I36:I37">
    <cfRule type="cellIs" dxfId="3248" priority="553" stopIfTrue="1" operator="lessThan">
      <formula>40</formula>
    </cfRule>
  </conditionalFormatting>
  <conditionalFormatting sqref="L36:L37">
    <cfRule type="expression" dxfId="3247" priority="554" stopIfTrue="1">
      <formula>ISBLANK(L36)</formula>
    </cfRule>
  </conditionalFormatting>
  <conditionalFormatting sqref="L36:L37">
    <cfRule type="cellIs" dxfId="3246" priority="555" stopIfTrue="1" operator="equal">
      <formula>"No grades yet"</formula>
    </cfRule>
  </conditionalFormatting>
  <conditionalFormatting sqref="L36:L37">
    <cfRule type="cellIs" dxfId="3245" priority="556" stopIfTrue="1" operator="greaterThanOrEqual">
      <formula>70</formula>
    </cfRule>
  </conditionalFormatting>
  <conditionalFormatting sqref="L36:L37">
    <cfRule type="cellIs" dxfId="3244" priority="557" stopIfTrue="1" operator="between">
      <formula>60</formula>
      <formula>69.999</formula>
    </cfRule>
  </conditionalFormatting>
  <conditionalFormatting sqref="L36:L37">
    <cfRule type="cellIs" dxfId="3243" priority="558" stopIfTrue="1" operator="between">
      <formula>50</formula>
      <formula>59.999</formula>
    </cfRule>
  </conditionalFormatting>
  <conditionalFormatting sqref="L36:L37">
    <cfRule type="cellIs" dxfId="3242" priority="559" stopIfTrue="1" operator="between">
      <formula>40</formula>
      <formula>49.999</formula>
    </cfRule>
  </conditionalFormatting>
  <conditionalFormatting sqref="L36:L37">
    <cfRule type="cellIs" dxfId="3241" priority="560" stopIfTrue="1" operator="lessThan">
      <formula>40</formula>
    </cfRule>
  </conditionalFormatting>
  <conditionalFormatting sqref="I38:I39">
    <cfRule type="expression" dxfId="3240" priority="561" stopIfTrue="1">
      <formula>ISBLANK(I38)</formula>
    </cfRule>
  </conditionalFormatting>
  <conditionalFormatting sqref="I38:I39">
    <cfRule type="cellIs" dxfId="3239" priority="562" stopIfTrue="1" operator="equal">
      <formula>"No grades yet"</formula>
    </cfRule>
  </conditionalFormatting>
  <conditionalFormatting sqref="I38:I39">
    <cfRule type="cellIs" dxfId="3238" priority="563" stopIfTrue="1" operator="greaterThanOrEqual">
      <formula>70</formula>
    </cfRule>
  </conditionalFormatting>
  <conditionalFormatting sqref="I38:I39">
    <cfRule type="cellIs" dxfId="3237" priority="564" stopIfTrue="1" operator="between">
      <formula>60</formula>
      <formula>69.999</formula>
    </cfRule>
  </conditionalFormatting>
  <conditionalFormatting sqref="I38:I39">
    <cfRule type="cellIs" dxfId="3236" priority="565" stopIfTrue="1" operator="between">
      <formula>50</formula>
      <formula>59.999</formula>
    </cfRule>
  </conditionalFormatting>
  <conditionalFormatting sqref="I38:I39">
    <cfRule type="cellIs" dxfId="3235" priority="566" stopIfTrue="1" operator="between">
      <formula>40</formula>
      <formula>49.999</formula>
    </cfRule>
  </conditionalFormatting>
  <conditionalFormatting sqref="I38:I39">
    <cfRule type="cellIs" dxfId="3234" priority="567" stopIfTrue="1" operator="lessThan">
      <formula>40</formula>
    </cfRule>
  </conditionalFormatting>
  <conditionalFormatting sqref="L38:L39">
    <cfRule type="expression" dxfId="3233" priority="568" stopIfTrue="1">
      <formula>ISBLANK(L38)</formula>
    </cfRule>
  </conditionalFormatting>
  <conditionalFormatting sqref="L38:L39">
    <cfRule type="cellIs" dxfId="3232" priority="569" stopIfTrue="1" operator="equal">
      <formula>"No grades yet"</formula>
    </cfRule>
  </conditionalFormatting>
  <conditionalFormatting sqref="L38:L39">
    <cfRule type="cellIs" dxfId="3231" priority="570" stopIfTrue="1" operator="greaterThanOrEqual">
      <formula>70</formula>
    </cfRule>
  </conditionalFormatting>
  <conditionalFormatting sqref="L38:L39">
    <cfRule type="cellIs" dxfId="3230" priority="571" stopIfTrue="1" operator="between">
      <formula>60</formula>
      <formula>69.999</formula>
    </cfRule>
  </conditionalFormatting>
  <conditionalFormatting sqref="L38:L39">
    <cfRule type="cellIs" dxfId="3229" priority="572" stopIfTrue="1" operator="between">
      <formula>50</formula>
      <formula>59.999</formula>
    </cfRule>
  </conditionalFormatting>
  <conditionalFormatting sqref="L38:L39">
    <cfRule type="cellIs" dxfId="3228" priority="573" stopIfTrue="1" operator="between">
      <formula>40</formula>
      <formula>49.999</formula>
    </cfRule>
  </conditionalFormatting>
  <conditionalFormatting sqref="L38:L39">
    <cfRule type="cellIs" dxfId="3227" priority="574" stopIfTrue="1" operator="lessThan">
      <formula>40</formula>
    </cfRule>
  </conditionalFormatting>
  <conditionalFormatting sqref="I40">
    <cfRule type="expression" dxfId="3226" priority="575" stopIfTrue="1">
      <formula>ISBLANK(I40)</formula>
    </cfRule>
  </conditionalFormatting>
  <conditionalFormatting sqref="I40">
    <cfRule type="cellIs" dxfId="3225" priority="576" stopIfTrue="1" operator="equal">
      <formula>"No grades yet"</formula>
    </cfRule>
  </conditionalFormatting>
  <conditionalFormatting sqref="I40">
    <cfRule type="cellIs" dxfId="3224" priority="577" stopIfTrue="1" operator="greaterThanOrEqual">
      <formula>70</formula>
    </cfRule>
  </conditionalFormatting>
  <conditionalFormatting sqref="I40">
    <cfRule type="cellIs" dxfId="3223" priority="578" stopIfTrue="1" operator="between">
      <formula>60</formula>
      <formula>69.999</formula>
    </cfRule>
  </conditionalFormatting>
  <conditionalFormatting sqref="I40">
    <cfRule type="cellIs" dxfId="3222" priority="579" stopIfTrue="1" operator="between">
      <formula>50</formula>
      <formula>59.999</formula>
    </cfRule>
  </conditionalFormatting>
  <conditionalFormatting sqref="I40">
    <cfRule type="cellIs" dxfId="3221" priority="580" stopIfTrue="1" operator="between">
      <formula>40</formula>
      <formula>49.999</formula>
    </cfRule>
  </conditionalFormatting>
  <conditionalFormatting sqref="I40">
    <cfRule type="cellIs" dxfId="3220" priority="581" stopIfTrue="1" operator="lessThan">
      <formula>40</formula>
    </cfRule>
  </conditionalFormatting>
  <conditionalFormatting sqref="L40">
    <cfRule type="expression" dxfId="3219" priority="582" stopIfTrue="1">
      <formula>ISBLANK(L40)</formula>
    </cfRule>
  </conditionalFormatting>
  <conditionalFormatting sqref="L40">
    <cfRule type="cellIs" dxfId="3218" priority="583" stopIfTrue="1" operator="equal">
      <formula>"No grades yet"</formula>
    </cfRule>
  </conditionalFormatting>
  <conditionalFormatting sqref="L40">
    <cfRule type="cellIs" dxfId="3217" priority="584" stopIfTrue="1" operator="greaterThanOrEqual">
      <formula>70</formula>
    </cfRule>
  </conditionalFormatting>
  <conditionalFormatting sqref="L40">
    <cfRule type="cellIs" dxfId="3216" priority="585" stopIfTrue="1" operator="between">
      <formula>60</formula>
      <formula>69.999</formula>
    </cfRule>
  </conditionalFormatting>
  <conditionalFormatting sqref="L40">
    <cfRule type="cellIs" dxfId="3215" priority="586" stopIfTrue="1" operator="between">
      <formula>50</formula>
      <formula>59.999</formula>
    </cfRule>
  </conditionalFormatting>
  <conditionalFormatting sqref="L40">
    <cfRule type="cellIs" dxfId="3214" priority="587" stopIfTrue="1" operator="between">
      <formula>40</formula>
      <formula>49.999</formula>
    </cfRule>
  </conditionalFormatting>
  <conditionalFormatting sqref="L40">
    <cfRule type="cellIs" dxfId="3213" priority="588" stopIfTrue="1" operator="lessThan">
      <formula>40</formula>
    </cfRule>
  </conditionalFormatting>
  <conditionalFormatting sqref="I44">
    <cfRule type="expression" dxfId="3212" priority="589" stopIfTrue="1">
      <formula>ISBLANK(I44)</formula>
    </cfRule>
  </conditionalFormatting>
  <conditionalFormatting sqref="I44">
    <cfRule type="cellIs" dxfId="3211" priority="590" stopIfTrue="1" operator="equal">
      <formula>"No grades yet"</formula>
    </cfRule>
  </conditionalFormatting>
  <conditionalFormatting sqref="I44">
    <cfRule type="cellIs" dxfId="3210" priority="591" stopIfTrue="1" operator="greaterThanOrEqual">
      <formula>70</formula>
    </cfRule>
  </conditionalFormatting>
  <conditionalFormatting sqref="I44">
    <cfRule type="cellIs" dxfId="3209" priority="592" stopIfTrue="1" operator="between">
      <formula>60</formula>
      <formula>69.999</formula>
    </cfRule>
  </conditionalFormatting>
  <conditionalFormatting sqref="I44">
    <cfRule type="cellIs" dxfId="3208" priority="593" stopIfTrue="1" operator="between">
      <formula>50</formula>
      <formula>59.999</formula>
    </cfRule>
  </conditionalFormatting>
  <conditionalFormatting sqref="I44">
    <cfRule type="cellIs" dxfId="3207" priority="594" stopIfTrue="1" operator="between">
      <formula>40</formula>
      <formula>49.999</formula>
    </cfRule>
  </conditionalFormatting>
  <conditionalFormatting sqref="I44">
    <cfRule type="cellIs" dxfId="3206" priority="595" stopIfTrue="1" operator="lessThan">
      <formula>40</formula>
    </cfRule>
  </conditionalFormatting>
  <conditionalFormatting sqref="L44">
    <cfRule type="expression" dxfId="3205" priority="596" stopIfTrue="1">
      <formula>ISBLANK(L44)</formula>
    </cfRule>
  </conditionalFormatting>
  <conditionalFormatting sqref="L44">
    <cfRule type="cellIs" dxfId="3204" priority="597" stopIfTrue="1" operator="equal">
      <formula>"No grades yet"</formula>
    </cfRule>
  </conditionalFormatting>
  <conditionalFormatting sqref="L44">
    <cfRule type="cellIs" dxfId="3203" priority="598" stopIfTrue="1" operator="greaterThanOrEqual">
      <formula>70</formula>
    </cfRule>
  </conditionalFormatting>
  <conditionalFormatting sqref="L44">
    <cfRule type="cellIs" dxfId="3202" priority="599" stopIfTrue="1" operator="between">
      <formula>60</formula>
      <formula>69.999</formula>
    </cfRule>
  </conditionalFormatting>
  <conditionalFormatting sqref="L44">
    <cfRule type="cellIs" dxfId="3201" priority="600" stopIfTrue="1" operator="between">
      <formula>50</formula>
      <formula>59.999</formula>
    </cfRule>
  </conditionalFormatting>
  <conditionalFormatting sqref="L44">
    <cfRule type="cellIs" dxfId="3200" priority="601" stopIfTrue="1" operator="between">
      <formula>40</formula>
      <formula>49.999</formula>
    </cfRule>
  </conditionalFormatting>
  <conditionalFormatting sqref="L44">
    <cfRule type="cellIs" dxfId="3199" priority="602" stopIfTrue="1" operator="lessThan">
      <formula>40</formula>
    </cfRule>
  </conditionalFormatting>
  <conditionalFormatting sqref="I45:I47">
    <cfRule type="expression" dxfId="3198" priority="603" stopIfTrue="1">
      <formula>ISBLANK(I45)</formula>
    </cfRule>
  </conditionalFormatting>
  <conditionalFormatting sqref="I45:I47">
    <cfRule type="cellIs" dxfId="3197" priority="604" stopIfTrue="1" operator="equal">
      <formula>"No grades yet"</formula>
    </cfRule>
  </conditionalFormatting>
  <conditionalFormatting sqref="I45:I47">
    <cfRule type="cellIs" dxfId="3196" priority="605" stopIfTrue="1" operator="greaterThanOrEqual">
      <formula>70</formula>
    </cfRule>
  </conditionalFormatting>
  <conditionalFormatting sqref="I45:I47">
    <cfRule type="cellIs" dxfId="3195" priority="606" stopIfTrue="1" operator="between">
      <formula>60</formula>
      <formula>69.999</formula>
    </cfRule>
  </conditionalFormatting>
  <conditionalFormatting sqref="I45:I47">
    <cfRule type="cellIs" dxfId="3194" priority="607" stopIfTrue="1" operator="between">
      <formula>50</formula>
      <formula>59.999</formula>
    </cfRule>
  </conditionalFormatting>
  <conditionalFormatting sqref="I45:I47">
    <cfRule type="cellIs" dxfId="3193" priority="608" stopIfTrue="1" operator="between">
      <formula>40</formula>
      <formula>49.999</formula>
    </cfRule>
  </conditionalFormatting>
  <conditionalFormatting sqref="I45:I47">
    <cfRule type="cellIs" dxfId="3192" priority="609" stopIfTrue="1" operator="lessThan">
      <formula>40</formula>
    </cfRule>
  </conditionalFormatting>
  <conditionalFormatting sqref="L45:L47">
    <cfRule type="expression" dxfId="3191" priority="610" stopIfTrue="1">
      <formula>ISBLANK(L45)</formula>
    </cfRule>
  </conditionalFormatting>
  <conditionalFormatting sqref="L45:L47">
    <cfRule type="cellIs" dxfId="3190" priority="611" stopIfTrue="1" operator="equal">
      <formula>"No grades yet"</formula>
    </cfRule>
  </conditionalFormatting>
  <conditionalFormatting sqref="L45:L47">
    <cfRule type="cellIs" dxfId="3189" priority="612" stopIfTrue="1" operator="greaterThanOrEqual">
      <formula>70</formula>
    </cfRule>
  </conditionalFormatting>
  <conditionalFormatting sqref="L45:L47">
    <cfRule type="cellIs" dxfId="3188" priority="613" stopIfTrue="1" operator="between">
      <formula>60</formula>
      <formula>69.999</formula>
    </cfRule>
  </conditionalFormatting>
  <conditionalFormatting sqref="L45:L47">
    <cfRule type="cellIs" dxfId="3187" priority="614" stopIfTrue="1" operator="between">
      <formula>50</formula>
      <formula>59.999</formula>
    </cfRule>
  </conditionalFormatting>
  <conditionalFormatting sqref="L45:L47">
    <cfRule type="cellIs" dxfId="3186" priority="615" stopIfTrue="1" operator="between">
      <formula>40</formula>
      <formula>49.999</formula>
    </cfRule>
  </conditionalFormatting>
  <conditionalFormatting sqref="L45:L47">
    <cfRule type="cellIs" dxfId="3185" priority="616" stopIfTrue="1" operator="lessThan">
      <formula>40</formula>
    </cfRule>
  </conditionalFormatting>
  <conditionalFormatting sqref="I48">
    <cfRule type="expression" dxfId="3184" priority="617" stopIfTrue="1">
      <formula>ISBLANK(I48)</formula>
    </cfRule>
  </conditionalFormatting>
  <conditionalFormatting sqref="I48">
    <cfRule type="cellIs" dxfId="3183" priority="618" stopIfTrue="1" operator="equal">
      <formula>"No grades yet"</formula>
    </cfRule>
  </conditionalFormatting>
  <conditionalFormatting sqref="I48">
    <cfRule type="cellIs" dxfId="3182" priority="619" stopIfTrue="1" operator="greaterThanOrEqual">
      <formula>70</formula>
    </cfRule>
  </conditionalFormatting>
  <conditionalFormatting sqref="I48">
    <cfRule type="cellIs" dxfId="3181" priority="620" stopIfTrue="1" operator="between">
      <formula>60</formula>
      <formula>69.999</formula>
    </cfRule>
  </conditionalFormatting>
  <conditionalFormatting sqref="I48">
    <cfRule type="cellIs" dxfId="3180" priority="621" stopIfTrue="1" operator="between">
      <formula>50</formula>
      <formula>59.999</formula>
    </cfRule>
  </conditionalFormatting>
  <conditionalFormatting sqref="I48">
    <cfRule type="cellIs" dxfId="3179" priority="622" stopIfTrue="1" operator="between">
      <formula>40</formula>
      <formula>49.999</formula>
    </cfRule>
  </conditionalFormatting>
  <conditionalFormatting sqref="I48">
    <cfRule type="cellIs" dxfId="3178" priority="623" stopIfTrue="1" operator="lessThan">
      <formula>40</formula>
    </cfRule>
  </conditionalFormatting>
  <conditionalFormatting sqref="L48">
    <cfRule type="expression" dxfId="3177" priority="624" stopIfTrue="1">
      <formula>ISBLANK(L48)</formula>
    </cfRule>
  </conditionalFormatting>
  <conditionalFormatting sqref="L48">
    <cfRule type="cellIs" dxfId="3176" priority="625" stopIfTrue="1" operator="equal">
      <formula>"No grades yet"</formula>
    </cfRule>
  </conditionalFormatting>
  <conditionalFormatting sqref="L48">
    <cfRule type="cellIs" dxfId="3175" priority="626" stopIfTrue="1" operator="greaterThanOrEqual">
      <formula>70</formula>
    </cfRule>
  </conditionalFormatting>
  <conditionalFormatting sqref="L48">
    <cfRule type="cellIs" dxfId="3174" priority="627" stopIfTrue="1" operator="between">
      <formula>60</formula>
      <formula>69.999</formula>
    </cfRule>
  </conditionalFormatting>
  <conditionalFormatting sqref="L48">
    <cfRule type="cellIs" dxfId="3173" priority="628" stopIfTrue="1" operator="between">
      <formula>50</formula>
      <formula>59.999</formula>
    </cfRule>
  </conditionalFormatting>
  <conditionalFormatting sqref="L48">
    <cfRule type="cellIs" dxfId="3172" priority="629" stopIfTrue="1" operator="between">
      <formula>40</formula>
      <formula>49.999</formula>
    </cfRule>
  </conditionalFormatting>
  <conditionalFormatting sqref="L48">
    <cfRule type="cellIs" dxfId="3171" priority="630" stopIfTrue="1" operator="lessThan">
      <formula>40</formula>
    </cfRule>
  </conditionalFormatting>
  <conditionalFormatting sqref="I49">
    <cfRule type="expression" dxfId="3170" priority="631" stopIfTrue="1">
      <formula>ISBLANK(I49)</formula>
    </cfRule>
  </conditionalFormatting>
  <conditionalFormatting sqref="I49">
    <cfRule type="cellIs" dxfId="3169" priority="632" stopIfTrue="1" operator="equal">
      <formula>"No grades yet"</formula>
    </cfRule>
  </conditionalFormatting>
  <conditionalFormatting sqref="I49">
    <cfRule type="cellIs" dxfId="3168" priority="633" stopIfTrue="1" operator="greaterThanOrEqual">
      <formula>70</formula>
    </cfRule>
  </conditionalFormatting>
  <conditionalFormatting sqref="I49">
    <cfRule type="cellIs" dxfId="3167" priority="634" stopIfTrue="1" operator="between">
      <formula>60</formula>
      <formula>69.999</formula>
    </cfRule>
  </conditionalFormatting>
  <conditionalFormatting sqref="I49">
    <cfRule type="cellIs" dxfId="3166" priority="635" stopIfTrue="1" operator="between">
      <formula>50</formula>
      <formula>59.999</formula>
    </cfRule>
  </conditionalFormatting>
  <conditionalFormatting sqref="I49">
    <cfRule type="cellIs" dxfId="3165" priority="636" stopIfTrue="1" operator="between">
      <formula>40</formula>
      <formula>49.999</formula>
    </cfRule>
  </conditionalFormatting>
  <conditionalFormatting sqref="I49">
    <cfRule type="cellIs" dxfId="3164" priority="637" stopIfTrue="1" operator="lessThan">
      <formula>40</formula>
    </cfRule>
  </conditionalFormatting>
  <conditionalFormatting sqref="L49">
    <cfRule type="expression" dxfId="3163" priority="638" stopIfTrue="1">
      <formula>ISBLANK(L49)</formula>
    </cfRule>
  </conditionalFormatting>
  <conditionalFormatting sqref="L49">
    <cfRule type="cellIs" dxfId="3162" priority="639" stopIfTrue="1" operator="equal">
      <formula>"No grades yet"</formula>
    </cfRule>
  </conditionalFormatting>
  <conditionalFormatting sqref="L49">
    <cfRule type="cellIs" dxfId="3161" priority="640" stopIfTrue="1" operator="greaterThanOrEqual">
      <formula>70</formula>
    </cfRule>
  </conditionalFormatting>
  <conditionalFormatting sqref="L49">
    <cfRule type="cellIs" dxfId="3160" priority="641" stopIfTrue="1" operator="between">
      <formula>60</formula>
      <formula>69.999</formula>
    </cfRule>
  </conditionalFormatting>
  <conditionalFormatting sqref="L49">
    <cfRule type="cellIs" dxfId="3159" priority="642" stopIfTrue="1" operator="between">
      <formula>50</formula>
      <formula>59.999</formula>
    </cfRule>
  </conditionalFormatting>
  <conditionalFormatting sqref="L49">
    <cfRule type="cellIs" dxfId="3158" priority="643" stopIfTrue="1" operator="between">
      <formula>40</formula>
      <formula>49.999</formula>
    </cfRule>
  </conditionalFormatting>
  <conditionalFormatting sqref="L49">
    <cfRule type="cellIs" dxfId="3157" priority="644" stopIfTrue="1" operator="lessThan">
      <formula>40</formula>
    </cfRule>
  </conditionalFormatting>
  <conditionalFormatting sqref="I50">
    <cfRule type="expression" dxfId="3156" priority="645" stopIfTrue="1">
      <formula>ISBLANK(I50)</formula>
    </cfRule>
  </conditionalFormatting>
  <conditionalFormatting sqref="I50">
    <cfRule type="cellIs" dxfId="3155" priority="646" stopIfTrue="1" operator="equal">
      <formula>"No grades yet"</formula>
    </cfRule>
  </conditionalFormatting>
  <conditionalFormatting sqref="I50">
    <cfRule type="cellIs" dxfId="3154" priority="647" stopIfTrue="1" operator="greaterThanOrEqual">
      <formula>70</formula>
    </cfRule>
  </conditionalFormatting>
  <conditionalFormatting sqref="I50">
    <cfRule type="cellIs" dxfId="3153" priority="648" stopIfTrue="1" operator="between">
      <formula>60</formula>
      <formula>69.999</formula>
    </cfRule>
  </conditionalFormatting>
  <conditionalFormatting sqref="I50">
    <cfRule type="cellIs" dxfId="3152" priority="649" stopIfTrue="1" operator="between">
      <formula>50</formula>
      <formula>59.999</formula>
    </cfRule>
  </conditionalFormatting>
  <conditionalFormatting sqref="I50">
    <cfRule type="cellIs" dxfId="3151" priority="650" stopIfTrue="1" operator="between">
      <formula>40</formula>
      <formula>49.999</formula>
    </cfRule>
  </conditionalFormatting>
  <conditionalFormatting sqref="I50">
    <cfRule type="cellIs" dxfId="3150" priority="651" stopIfTrue="1" operator="lessThan">
      <formula>40</formula>
    </cfRule>
  </conditionalFormatting>
  <conditionalFormatting sqref="L50">
    <cfRule type="expression" dxfId="3149" priority="652" stopIfTrue="1">
      <formula>ISBLANK(L50)</formula>
    </cfRule>
  </conditionalFormatting>
  <conditionalFormatting sqref="L50">
    <cfRule type="cellIs" dxfId="3148" priority="653" stopIfTrue="1" operator="equal">
      <formula>"No grades yet"</formula>
    </cfRule>
  </conditionalFormatting>
  <conditionalFormatting sqref="L50">
    <cfRule type="cellIs" dxfId="3147" priority="654" stopIfTrue="1" operator="greaterThanOrEqual">
      <formula>70</formula>
    </cfRule>
  </conditionalFormatting>
  <conditionalFormatting sqref="L50">
    <cfRule type="cellIs" dxfId="3146" priority="655" stopIfTrue="1" operator="between">
      <formula>60</formula>
      <formula>69.999</formula>
    </cfRule>
  </conditionalFormatting>
  <conditionalFormatting sqref="L50">
    <cfRule type="cellIs" dxfId="3145" priority="656" stopIfTrue="1" operator="between">
      <formula>50</formula>
      <formula>59.999</formula>
    </cfRule>
  </conditionalFormatting>
  <conditionalFormatting sqref="L50">
    <cfRule type="cellIs" dxfId="3144" priority="657" stopIfTrue="1" operator="between">
      <formula>40</formula>
      <formula>49.999</formula>
    </cfRule>
  </conditionalFormatting>
  <conditionalFormatting sqref="L50">
    <cfRule type="cellIs" dxfId="3143" priority="658" stopIfTrue="1" operator="lessThan">
      <formula>40</formula>
    </cfRule>
  </conditionalFormatting>
  <conditionalFormatting sqref="I51">
    <cfRule type="expression" dxfId="3142" priority="659" stopIfTrue="1">
      <formula>ISBLANK(I51)</formula>
    </cfRule>
  </conditionalFormatting>
  <conditionalFormatting sqref="I51">
    <cfRule type="cellIs" dxfId="3141" priority="660" stopIfTrue="1" operator="equal">
      <formula>"No grades yet"</formula>
    </cfRule>
  </conditionalFormatting>
  <conditionalFormatting sqref="I51">
    <cfRule type="cellIs" dxfId="3140" priority="661" stopIfTrue="1" operator="greaterThanOrEqual">
      <formula>70</formula>
    </cfRule>
  </conditionalFormatting>
  <conditionalFormatting sqref="I51">
    <cfRule type="cellIs" dxfId="3139" priority="662" stopIfTrue="1" operator="between">
      <formula>60</formula>
      <formula>69.999</formula>
    </cfRule>
  </conditionalFormatting>
  <conditionalFormatting sqref="I51">
    <cfRule type="cellIs" dxfId="3138" priority="663" stopIfTrue="1" operator="between">
      <formula>50</formula>
      <formula>59.999</formula>
    </cfRule>
  </conditionalFormatting>
  <conditionalFormatting sqref="I51">
    <cfRule type="cellIs" dxfId="3137" priority="664" stopIfTrue="1" operator="between">
      <formula>40</formula>
      <formula>49.999</formula>
    </cfRule>
  </conditionalFormatting>
  <conditionalFormatting sqref="I51">
    <cfRule type="cellIs" dxfId="3136" priority="665" stopIfTrue="1" operator="lessThan">
      <formula>40</formula>
    </cfRule>
  </conditionalFormatting>
  <conditionalFormatting sqref="L51">
    <cfRule type="expression" dxfId="3135" priority="666" stopIfTrue="1">
      <formula>ISBLANK(L51)</formula>
    </cfRule>
  </conditionalFormatting>
  <conditionalFormatting sqref="L51">
    <cfRule type="cellIs" dxfId="3134" priority="667" stopIfTrue="1" operator="equal">
      <formula>"No grades yet"</formula>
    </cfRule>
  </conditionalFormatting>
  <conditionalFormatting sqref="L51">
    <cfRule type="cellIs" dxfId="3133" priority="668" stopIfTrue="1" operator="greaterThanOrEqual">
      <formula>70</formula>
    </cfRule>
  </conditionalFormatting>
  <conditionalFormatting sqref="L51">
    <cfRule type="cellIs" dxfId="3132" priority="669" stopIfTrue="1" operator="between">
      <formula>60</formula>
      <formula>69.999</formula>
    </cfRule>
  </conditionalFormatting>
  <conditionalFormatting sqref="L51">
    <cfRule type="cellIs" dxfId="3131" priority="670" stopIfTrue="1" operator="between">
      <formula>50</formula>
      <formula>59.999</formula>
    </cfRule>
  </conditionalFormatting>
  <conditionalFormatting sqref="L51">
    <cfRule type="cellIs" dxfId="3130" priority="671" stopIfTrue="1" operator="between">
      <formula>40</formula>
      <formula>49.999</formula>
    </cfRule>
  </conditionalFormatting>
  <conditionalFormatting sqref="L51">
    <cfRule type="cellIs" dxfId="3129" priority="672" stopIfTrue="1" operator="lessThan">
      <formula>40</formula>
    </cfRule>
  </conditionalFormatting>
  <conditionalFormatting sqref="I52">
    <cfRule type="expression" dxfId="3128" priority="673" stopIfTrue="1">
      <formula>ISBLANK(I52)</formula>
    </cfRule>
  </conditionalFormatting>
  <conditionalFormatting sqref="I52">
    <cfRule type="cellIs" dxfId="3127" priority="674" stopIfTrue="1" operator="equal">
      <formula>"No grades yet"</formula>
    </cfRule>
  </conditionalFormatting>
  <conditionalFormatting sqref="I52">
    <cfRule type="cellIs" dxfId="3126" priority="675" stopIfTrue="1" operator="greaterThanOrEqual">
      <formula>70</formula>
    </cfRule>
  </conditionalFormatting>
  <conditionalFormatting sqref="I52">
    <cfRule type="cellIs" dxfId="3125" priority="676" stopIfTrue="1" operator="between">
      <formula>60</formula>
      <formula>69.999</formula>
    </cfRule>
  </conditionalFormatting>
  <conditionalFormatting sqref="I52">
    <cfRule type="cellIs" dxfId="3124" priority="677" stopIfTrue="1" operator="between">
      <formula>50</formula>
      <formula>59.999</formula>
    </cfRule>
  </conditionalFormatting>
  <conditionalFormatting sqref="I52">
    <cfRule type="cellIs" dxfId="3123" priority="678" stopIfTrue="1" operator="between">
      <formula>40</formula>
      <formula>49.999</formula>
    </cfRule>
  </conditionalFormatting>
  <conditionalFormatting sqref="I52">
    <cfRule type="cellIs" dxfId="3122" priority="679" stopIfTrue="1" operator="lessThan">
      <formula>40</formula>
    </cfRule>
  </conditionalFormatting>
  <conditionalFormatting sqref="L52">
    <cfRule type="expression" dxfId="3121" priority="680" stopIfTrue="1">
      <formula>ISBLANK(L52)</formula>
    </cfRule>
  </conditionalFormatting>
  <conditionalFormatting sqref="L52">
    <cfRule type="cellIs" dxfId="3120" priority="681" stopIfTrue="1" operator="equal">
      <formula>"No grades yet"</formula>
    </cfRule>
  </conditionalFormatting>
  <conditionalFormatting sqref="L52">
    <cfRule type="cellIs" dxfId="3119" priority="682" stopIfTrue="1" operator="greaterThanOrEqual">
      <formula>70</formula>
    </cfRule>
  </conditionalFormatting>
  <conditionalFormatting sqref="L52">
    <cfRule type="cellIs" dxfId="3118" priority="683" stopIfTrue="1" operator="between">
      <formula>60</formula>
      <formula>69.999</formula>
    </cfRule>
  </conditionalFormatting>
  <conditionalFormatting sqref="L52">
    <cfRule type="cellIs" dxfId="3117" priority="684" stopIfTrue="1" operator="between">
      <formula>50</formula>
      <formula>59.999</formula>
    </cfRule>
  </conditionalFormatting>
  <conditionalFormatting sqref="L52">
    <cfRule type="cellIs" dxfId="3116" priority="685" stopIfTrue="1" operator="between">
      <formula>40</formula>
      <formula>49.999</formula>
    </cfRule>
  </conditionalFormatting>
  <conditionalFormatting sqref="L52">
    <cfRule type="cellIs" dxfId="3115" priority="686" stopIfTrue="1" operator="lessThan">
      <formula>40</formula>
    </cfRule>
  </conditionalFormatting>
  <conditionalFormatting sqref="I53">
    <cfRule type="expression" dxfId="3114" priority="687" stopIfTrue="1">
      <formula>ISBLANK(I53)</formula>
    </cfRule>
  </conditionalFormatting>
  <conditionalFormatting sqref="I53">
    <cfRule type="cellIs" dxfId="3113" priority="688" stopIfTrue="1" operator="equal">
      <formula>"No grades yet"</formula>
    </cfRule>
  </conditionalFormatting>
  <conditionalFormatting sqref="I53">
    <cfRule type="cellIs" dxfId="3112" priority="689" stopIfTrue="1" operator="greaterThanOrEqual">
      <formula>70</formula>
    </cfRule>
  </conditionalFormatting>
  <conditionalFormatting sqref="I53">
    <cfRule type="cellIs" dxfId="3111" priority="690" stopIfTrue="1" operator="between">
      <formula>60</formula>
      <formula>69.999</formula>
    </cfRule>
  </conditionalFormatting>
  <conditionalFormatting sqref="I53">
    <cfRule type="cellIs" dxfId="3110" priority="691" stopIfTrue="1" operator="between">
      <formula>50</formula>
      <formula>59.999</formula>
    </cfRule>
  </conditionalFormatting>
  <conditionalFormatting sqref="I53">
    <cfRule type="cellIs" dxfId="3109" priority="692" stopIfTrue="1" operator="between">
      <formula>40</formula>
      <formula>49.999</formula>
    </cfRule>
  </conditionalFormatting>
  <conditionalFormatting sqref="I53">
    <cfRule type="cellIs" dxfId="3108" priority="693" stopIfTrue="1" operator="lessThan">
      <formula>40</formula>
    </cfRule>
  </conditionalFormatting>
  <conditionalFormatting sqref="L53">
    <cfRule type="expression" dxfId="3107" priority="694" stopIfTrue="1">
      <formula>ISBLANK(L53)</formula>
    </cfRule>
  </conditionalFormatting>
  <conditionalFormatting sqref="L53">
    <cfRule type="cellIs" dxfId="3106" priority="695" stopIfTrue="1" operator="equal">
      <formula>"No grades yet"</formula>
    </cfRule>
  </conditionalFormatting>
  <conditionalFormatting sqref="L53">
    <cfRule type="cellIs" dxfId="3105" priority="696" stopIfTrue="1" operator="greaterThanOrEqual">
      <formula>70</formula>
    </cfRule>
  </conditionalFormatting>
  <conditionalFormatting sqref="L53">
    <cfRule type="cellIs" dxfId="3104" priority="697" stopIfTrue="1" operator="between">
      <formula>60</formula>
      <formula>69.999</formula>
    </cfRule>
  </conditionalFormatting>
  <conditionalFormatting sqref="L53">
    <cfRule type="cellIs" dxfId="3103" priority="698" stopIfTrue="1" operator="between">
      <formula>50</formula>
      <formula>59.999</formula>
    </cfRule>
  </conditionalFormatting>
  <conditionalFormatting sqref="L53">
    <cfRule type="cellIs" dxfId="3102" priority="699" stopIfTrue="1" operator="between">
      <formula>40</formula>
      <formula>49.999</formula>
    </cfRule>
  </conditionalFormatting>
  <conditionalFormatting sqref="L53">
    <cfRule type="cellIs" dxfId="3101" priority="700" stopIfTrue="1" operator="lessThan">
      <formula>40</formula>
    </cfRule>
  </conditionalFormatting>
  <conditionalFormatting sqref="I54">
    <cfRule type="expression" dxfId="3100" priority="701" stopIfTrue="1">
      <formula>ISBLANK(I54)</formula>
    </cfRule>
  </conditionalFormatting>
  <conditionalFormatting sqref="I54">
    <cfRule type="cellIs" dxfId="3099" priority="702" stopIfTrue="1" operator="equal">
      <formula>"No grades yet"</formula>
    </cfRule>
  </conditionalFormatting>
  <conditionalFormatting sqref="I54">
    <cfRule type="cellIs" dxfId="3098" priority="703" stopIfTrue="1" operator="greaterThanOrEqual">
      <formula>70</formula>
    </cfRule>
  </conditionalFormatting>
  <conditionalFormatting sqref="I54">
    <cfRule type="cellIs" dxfId="3097" priority="704" stopIfTrue="1" operator="between">
      <formula>60</formula>
      <formula>69.999</formula>
    </cfRule>
  </conditionalFormatting>
  <conditionalFormatting sqref="I54">
    <cfRule type="cellIs" dxfId="3096" priority="705" stopIfTrue="1" operator="between">
      <formula>50</formula>
      <formula>59.999</formula>
    </cfRule>
  </conditionalFormatting>
  <conditionalFormatting sqref="I54">
    <cfRule type="cellIs" dxfId="3095" priority="706" stopIfTrue="1" operator="between">
      <formula>40</formula>
      <formula>49.999</formula>
    </cfRule>
  </conditionalFormatting>
  <conditionalFormatting sqref="I54">
    <cfRule type="cellIs" dxfId="3094" priority="707" stopIfTrue="1" operator="lessThan">
      <formula>40</formula>
    </cfRule>
  </conditionalFormatting>
  <conditionalFormatting sqref="L54">
    <cfRule type="expression" dxfId="3093" priority="708" stopIfTrue="1">
      <formula>ISBLANK(L54)</formula>
    </cfRule>
  </conditionalFormatting>
  <conditionalFormatting sqref="L54">
    <cfRule type="cellIs" dxfId="3092" priority="709" stopIfTrue="1" operator="equal">
      <formula>"No grades yet"</formula>
    </cfRule>
  </conditionalFormatting>
  <conditionalFormatting sqref="L54">
    <cfRule type="cellIs" dxfId="3091" priority="710" stopIfTrue="1" operator="greaterThanOrEqual">
      <formula>70</formula>
    </cfRule>
  </conditionalFormatting>
  <conditionalFormatting sqref="L54">
    <cfRule type="cellIs" dxfId="3090" priority="711" stopIfTrue="1" operator="between">
      <formula>60</formula>
      <formula>69.999</formula>
    </cfRule>
  </conditionalFormatting>
  <conditionalFormatting sqref="L54">
    <cfRule type="cellIs" dxfId="3089" priority="712" stopIfTrue="1" operator="between">
      <formula>50</formula>
      <formula>59.999</formula>
    </cfRule>
  </conditionalFormatting>
  <conditionalFormatting sqref="L54">
    <cfRule type="cellIs" dxfId="3088" priority="713" stopIfTrue="1" operator="between">
      <formula>40</formula>
      <formula>49.999</formula>
    </cfRule>
  </conditionalFormatting>
  <conditionalFormatting sqref="L54">
    <cfRule type="cellIs" dxfId="3087" priority="714" stopIfTrue="1" operator="lessThan">
      <formula>40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90F88-F28F-418E-BE82-1C403F2DE012}">
  <sheetPr codeName="Sheet1"/>
  <dimension ref="A1:P24"/>
  <sheetViews>
    <sheetView zoomScale="83" workbookViewId="0">
      <selection activeCell="D24" sqref="D24"/>
    </sheetView>
  </sheetViews>
  <sheetFormatPr defaultRowHeight="13.2"/>
  <cols>
    <col min="1" max="1" width="10.44140625" bestFit="1" customWidth="1"/>
    <col min="2" max="2" width="39.44140625" bestFit="1" customWidth="1"/>
    <col min="3" max="3" width="6" customWidth="1"/>
    <col min="4" max="4" width="11.21875" customWidth="1"/>
    <col min="5" max="5" width="10.109375" customWidth="1"/>
    <col min="6" max="6" width="28.109375" customWidth="1"/>
    <col min="7" max="7" width="8.109375" customWidth="1"/>
    <col min="8" max="8" width="43.77734375" customWidth="1"/>
    <col min="9" max="9" width="9.6640625" customWidth="1"/>
    <col min="10" max="10" width="8.88671875" hidden="1" customWidth="1"/>
    <col min="11" max="11" width="9.77734375" hidden="1" customWidth="1"/>
    <col min="12" max="12" width="17.88671875" bestFit="1" customWidth="1"/>
    <col min="13" max="13" width="26.6640625" hidden="1" customWidth="1"/>
    <col min="14" max="14" width="25.21875" hidden="1" customWidth="1"/>
    <col min="15" max="15" width="25" hidden="1" customWidth="1"/>
    <col min="16" max="16" width="26.6640625" hidden="1" customWidth="1"/>
    <col min="17" max="17" width="0" hidden="1" customWidth="1"/>
  </cols>
  <sheetData>
    <row r="1" spans="1:16" ht="40.799999999999997" thickTop="1" thickBot="1">
      <c r="A1" s="58" t="s">
        <v>65</v>
      </c>
      <c r="B1" s="59" t="s">
        <v>1</v>
      </c>
      <c r="C1" s="59" t="s">
        <v>0</v>
      </c>
      <c r="D1" s="59" t="s">
        <v>502</v>
      </c>
      <c r="E1" s="59" t="s">
        <v>92</v>
      </c>
      <c r="F1" s="99" t="s">
        <v>224</v>
      </c>
      <c r="G1" s="99"/>
      <c r="H1" s="99"/>
      <c r="I1" s="59" t="s">
        <v>2</v>
      </c>
      <c r="J1" s="59" t="s">
        <v>3</v>
      </c>
      <c r="K1" s="59" t="s">
        <v>4</v>
      </c>
      <c r="L1" s="59" t="s">
        <v>5</v>
      </c>
      <c r="M1" s="59" t="s">
        <v>193</v>
      </c>
      <c r="N1" s="59" t="s">
        <v>7</v>
      </c>
      <c r="O1" s="59" t="s">
        <v>194</v>
      </c>
      <c r="P1" s="60" t="s">
        <v>195</v>
      </c>
    </row>
    <row r="2" spans="1:16" ht="13.8" thickTop="1">
      <c r="A2" s="255" t="s">
        <v>186</v>
      </c>
      <c r="B2" s="252" t="s">
        <v>187</v>
      </c>
      <c r="C2" s="262">
        <v>10</v>
      </c>
      <c r="D2" s="258">
        <f>C2/SUM(C2:C23)</f>
        <v>0.16666666666666666</v>
      </c>
      <c r="E2" s="246">
        <v>0.4</v>
      </c>
      <c r="F2" s="247" t="s">
        <v>188</v>
      </c>
      <c r="G2" s="248">
        <v>0.2</v>
      </c>
      <c r="H2" s="247" t="s">
        <v>189</v>
      </c>
      <c r="I2" s="186"/>
      <c r="J2" s="158">
        <f>IF(G2=1, I2, SUMPRODUCT(I2:I4, G2:G4))</f>
        <v>0</v>
      </c>
      <c r="K2" s="158">
        <f>SUMIF(I2:I4, "&lt;&gt;", G2:G4) / SUMIF(G2:G4, "&lt;&gt;")</f>
        <v>0</v>
      </c>
      <c r="L2" s="158" t="str">
        <f>IFERROR(J2/K2, "No grades yet")</f>
        <v>No grades yet</v>
      </c>
      <c r="M2" s="158">
        <f>IFERROR(IF(K2 = 1, "Completed module", IF(((70 - J2) / (1 - K2)) &gt; 100, "Unattainable", IF(((70 - J2) / (1 - K2)) &lt; 0, "Already attained", ((70 - J2) / (1 - K2))))), "-")</f>
        <v>70</v>
      </c>
      <c r="N2" s="158">
        <f>IFERROR(IF(K2 = 1, "Completed module", IF(((60 - J2) / (1 - K2)) &gt; 100, "Unattainable", IF(((60 - J2) / (1 - K2)) &lt; 0, "Already attained", ((60 - J2) / (1 - K2))))), "-")</f>
        <v>60</v>
      </c>
      <c r="O2" s="158">
        <f>IFERROR(IF(K2 = 1, "Completed module", IF(((50 - J2) / (1 - K2)) &gt; 100, "Unattainable", IF(((50 - J2) / (1 - K2)) &lt; 0, "Already attained", ((50 - J2) / (1 - K2))))), "-")</f>
        <v>50</v>
      </c>
      <c r="P2" s="166">
        <f>IFERROR(IF(K2 = 1, "Completed module", IF(((40 - J2) / (1 - K2)) &gt; 100, "Unattainable", IF(((40 - J2) / (1 - K2)) &lt; 0, "Already attained", ((40 - J2) / (1 - K2))))), "-")</f>
        <v>40</v>
      </c>
    </row>
    <row r="3" spans="1:16">
      <c r="A3" s="256"/>
      <c r="B3" s="253"/>
      <c r="C3" s="261"/>
      <c r="D3" s="259"/>
      <c r="E3" s="242"/>
      <c r="F3" s="243" t="s">
        <v>150</v>
      </c>
      <c r="G3" s="244">
        <v>0.5</v>
      </c>
      <c r="H3" s="243" t="s">
        <v>190</v>
      </c>
      <c r="I3" s="185"/>
      <c r="J3" s="148"/>
      <c r="K3" s="148"/>
      <c r="L3" s="148"/>
      <c r="M3" s="148"/>
      <c r="N3" s="148"/>
      <c r="O3" s="148"/>
      <c r="P3" s="167"/>
    </row>
    <row r="4" spans="1:16" ht="13.8" thickBot="1">
      <c r="A4" s="264"/>
      <c r="B4" s="265"/>
      <c r="C4" s="270"/>
      <c r="D4" s="347"/>
      <c r="E4" s="267"/>
      <c r="F4" s="268" t="s">
        <v>191</v>
      </c>
      <c r="G4" s="269">
        <v>0.3</v>
      </c>
      <c r="H4" s="268" t="s">
        <v>192</v>
      </c>
      <c r="I4" s="212"/>
      <c r="J4" s="183"/>
      <c r="K4" s="183"/>
      <c r="L4" s="183"/>
      <c r="M4" s="183"/>
      <c r="N4" s="183"/>
      <c r="O4" s="183"/>
      <c r="P4" s="184"/>
    </row>
    <row r="5" spans="1:16" ht="13.8" thickTop="1">
      <c r="A5" s="255" t="s">
        <v>148</v>
      </c>
      <c r="B5" s="252" t="s">
        <v>149</v>
      </c>
      <c r="C5" s="262">
        <v>10</v>
      </c>
      <c r="D5" s="258">
        <f>C5/SUM(C2:C23)</f>
        <v>0.16666666666666666</v>
      </c>
      <c r="E5" s="246">
        <v>0.4</v>
      </c>
      <c r="F5" s="247" t="s">
        <v>150</v>
      </c>
      <c r="G5" s="248">
        <v>0.6</v>
      </c>
      <c r="H5" s="247" t="s">
        <v>151</v>
      </c>
      <c r="I5" s="186"/>
      <c r="J5" s="158">
        <f>IF(G5=1, I5, SUMPRODUCT(I5:I8, G5:G8))</f>
        <v>0</v>
      </c>
      <c r="K5" s="158">
        <f>SUMIF(I5:I8, "&lt;&gt;", G5:G8) / SUMIF(G5:G8, "&lt;&gt;")</f>
        <v>0</v>
      </c>
      <c r="L5" s="158" t="str">
        <f>IFERROR(J5/K5, "No grades yet")</f>
        <v>No grades yet</v>
      </c>
      <c r="M5" s="158">
        <f>IFERROR(IF(K5 = 1, "Completed module", IF(((70 - J5) / (1 - K5)) &gt; 100, "Unattainable", IF(((70 - J5) / (1 - K5)) &lt; 0, "Already attained", ((70 - J5) / (1 - K5))))), "-")</f>
        <v>70</v>
      </c>
      <c r="N5" s="158">
        <f>IFERROR(IF(K5 = 1, "Completed module", IF(((60 - J5) / (1 - K5)) &gt; 100, "Unattainable", IF(((60 - J5) / (1 - K5)) &lt; 0, "Already attained", ((60 - J5) / (1 - K5))))), "-")</f>
        <v>60</v>
      </c>
      <c r="O5" s="158">
        <f>IFERROR(IF(K5 = 1, "Completed module", IF(((50 - J5) / (1 - K5)) &gt; 100, "Unattainable", IF(((50 - J5) / (1 - K5)) &lt; 0, "Already attained", ((50 - J5) / (1 - K5))))), "-")</f>
        <v>50</v>
      </c>
      <c r="P5" s="166">
        <f>IFERROR(IF(K5 = 1, "Completed module", IF(((40 - J5) / (1 - K5)) &gt; 100, "Unattainable", IF(((40 - J5) / (1 - K5)) &lt; 0, "Already attained", ((40 - J5) / (1 - K5))))), "-")</f>
        <v>40</v>
      </c>
    </row>
    <row r="6" spans="1:16">
      <c r="A6" s="256"/>
      <c r="B6" s="253"/>
      <c r="C6" s="261"/>
      <c r="D6" s="259"/>
      <c r="E6" s="242"/>
      <c r="F6" s="346" t="s">
        <v>155</v>
      </c>
      <c r="G6" s="244">
        <v>0.3</v>
      </c>
      <c r="H6" s="243" t="s">
        <v>152</v>
      </c>
      <c r="I6" s="185"/>
      <c r="J6" s="148"/>
      <c r="K6" s="148"/>
      <c r="L6" s="148"/>
      <c r="M6" s="148"/>
      <c r="N6" s="148"/>
      <c r="O6" s="148"/>
      <c r="P6" s="167"/>
    </row>
    <row r="7" spans="1:16">
      <c r="A7" s="256"/>
      <c r="B7" s="253"/>
      <c r="C7" s="261"/>
      <c r="D7" s="259"/>
      <c r="E7" s="242"/>
      <c r="F7" s="243" t="s">
        <v>188</v>
      </c>
      <c r="G7" s="244">
        <v>0</v>
      </c>
      <c r="H7" s="243" t="s">
        <v>153</v>
      </c>
      <c r="I7" s="185"/>
      <c r="J7" s="148"/>
      <c r="K7" s="148"/>
      <c r="L7" s="148"/>
      <c r="M7" s="148"/>
      <c r="N7" s="148"/>
      <c r="O7" s="148"/>
      <c r="P7" s="167"/>
    </row>
    <row r="8" spans="1:16" ht="13.8" thickBot="1">
      <c r="A8" s="264"/>
      <c r="B8" s="265"/>
      <c r="C8" s="270"/>
      <c r="D8" s="347"/>
      <c r="E8" s="267"/>
      <c r="F8" s="268" t="s">
        <v>188</v>
      </c>
      <c r="G8" s="269">
        <v>0.1</v>
      </c>
      <c r="H8" s="268" t="s">
        <v>154</v>
      </c>
      <c r="I8" s="212"/>
      <c r="J8" s="183"/>
      <c r="K8" s="183"/>
      <c r="L8" s="183"/>
      <c r="M8" s="183"/>
      <c r="N8" s="183"/>
      <c r="O8" s="183"/>
      <c r="P8" s="184"/>
    </row>
    <row r="9" spans="1:16" ht="13.8" thickTop="1">
      <c r="A9" s="255" t="s">
        <v>196</v>
      </c>
      <c r="B9" s="252" t="s">
        <v>197</v>
      </c>
      <c r="C9" s="262">
        <v>5</v>
      </c>
      <c r="D9" s="258">
        <f>C9/SUM(C2:C23)</f>
        <v>8.3333333333333329E-2</v>
      </c>
      <c r="E9" s="246">
        <v>0.4</v>
      </c>
      <c r="F9" s="247" t="s">
        <v>198</v>
      </c>
      <c r="G9" s="248">
        <v>0.4</v>
      </c>
      <c r="H9" s="247" t="s">
        <v>198</v>
      </c>
      <c r="I9" s="186"/>
      <c r="J9" s="158">
        <f>IF(G9=1, I9, SUMPRODUCT(I9:I12, G9:G12))</f>
        <v>0</v>
      </c>
      <c r="K9" s="158">
        <f>SUMIF(I9:I12, "&lt;&gt;", G9:G12) / SUMIF(G9:G12, "&lt;&gt;")</f>
        <v>0</v>
      </c>
      <c r="L9" s="158" t="str">
        <f>IFERROR(J9/K9, "No grades yet")</f>
        <v>No grades yet</v>
      </c>
      <c r="M9" s="158">
        <f>IFERROR(IF(K9 = 1, "Completed module", IF(((70 - J9) / (1 - K9)) &gt; 100, "Unattainable", IF(((70 - J9) / (1 - K9)) &lt; 0, "Already attained", ((70 - J9) / (1 - K9))))), "-")</f>
        <v>70</v>
      </c>
      <c r="N9" s="158">
        <f>IFERROR(IF(K9 = 1, "Completed module", IF(((60 - J9) / (1 - K9)) &gt; 100, "Unattainable", IF(((60 - J9) / (1 - K9)) &lt; 0, "Already attained", ((60 - J9) / (1 - K9))))), "-")</f>
        <v>60</v>
      </c>
      <c r="O9" s="158">
        <f>IFERROR(IF(K9 = 1, "Completed module", IF(((50 - J9) / (1 - K9)) &gt; 100, "Unattainable", IF(((50 - J9) / (1 - K9)) &lt; 0, "Already attained", ((50 - J9) / (1 - K9))))), "-")</f>
        <v>50</v>
      </c>
      <c r="P9" s="166">
        <f>IFERROR(IF(K9 = 1, "Completed module", IF(((40 - J9) / (1 - K9)) &gt; 100, "Unattainable", IF(((40 - J9) / (1 - K9)) &lt; 0, "Already attained", ((40 - J9) / (1 - K9))))), "-")</f>
        <v>40</v>
      </c>
    </row>
    <row r="10" spans="1:16">
      <c r="A10" s="256"/>
      <c r="B10" s="253"/>
      <c r="C10" s="261"/>
      <c r="D10" s="259"/>
      <c r="E10" s="242"/>
      <c r="F10" s="243" t="s">
        <v>199</v>
      </c>
      <c r="G10" s="244">
        <v>0.6</v>
      </c>
      <c r="H10" s="243" t="s">
        <v>200</v>
      </c>
      <c r="I10" s="185"/>
      <c r="J10" s="148"/>
      <c r="K10" s="148"/>
      <c r="L10" s="148"/>
      <c r="M10" s="148"/>
      <c r="N10" s="148"/>
      <c r="O10" s="148"/>
      <c r="P10" s="167"/>
    </row>
    <row r="11" spans="1:16">
      <c r="A11" s="256"/>
      <c r="B11" s="253"/>
      <c r="C11" s="261"/>
      <c r="D11" s="259"/>
      <c r="E11" s="242"/>
      <c r="F11" s="243" t="s">
        <v>201</v>
      </c>
      <c r="G11" s="244">
        <v>0</v>
      </c>
      <c r="H11" s="243" t="s">
        <v>202</v>
      </c>
      <c r="I11" s="185"/>
      <c r="J11" s="148"/>
      <c r="K11" s="148"/>
      <c r="L11" s="148"/>
      <c r="M11" s="148"/>
      <c r="N11" s="148"/>
      <c r="O11" s="148"/>
      <c r="P11" s="167"/>
    </row>
    <row r="12" spans="1:16" ht="13.8" thickBot="1">
      <c r="A12" s="264"/>
      <c r="B12" s="265"/>
      <c r="C12" s="270"/>
      <c r="D12" s="347"/>
      <c r="E12" s="267"/>
      <c r="F12" s="268" t="s">
        <v>203</v>
      </c>
      <c r="G12" s="269">
        <v>0</v>
      </c>
      <c r="H12" s="268" t="s">
        <v>204</v>
      </c>
      <c r="I12" s="212"/>
      <c r="J12" s="183"/>
      <c r="K12" s="183"/>
      <c r="L12" s="183"/>
      <c r="M12" s="183"/>
      <c r="N12" s="183"/>
      <c r="O12" s="183"/>
      <c r="P12" s="184"/>
    </row>
    <row r="13" spans="1:16" ht="13.8" thickTop="1">
      <c r="A13" s="255" t="s">
        <v>205</v>
      </c>
      <c r="B13" s="252" t="s">
        <v>206</v>
      </c>
      <c r="C13" s="262">
        <v>10</v>
      </c>
      <c r="D13" s="258">
        <f>C13/SUM(C2:C23)</f>
        <v>0.16666666666666666</v>
      </c>
      <c r="E13" s="246">
        <v>0.4</v>
      </c>
      <c r="F13" s="247" t="s">
        <v>188</v>
      </c>
      <c r="G13" s="248">
        <v>0.1</v>
      </c>
      <c r="H13" s="247" t="s">
        <v>207</v>
      </c>
      <c r="I13" s="186"/>
      <c r="J13" s="158">
        <f>IF(G13=1, I13, SUMPRODUCT(I13:I15, G13:G15))</f>
        <v>0</v>
      </c>
      <c r="K13" s="158">
        <f>SUMIF(I13:I15, "&lt;&gt;", G13:G15) / SUMIF(G13:G15, "&lt;&gt;")</f>
        <v>0</v>
      </c>
      <c r="L13" s="158" t="str">
        <f>IFERROR(J13/K13, "No grades yet")</f>
        <v>No grades yet</v>
      </c>
      <c r="M13" s="158">
        <f>IFERROR(IF(K13 = 1, "Completed module", IF(((70 - J13) / (1 - K13)) &gt; 100, "Unattainable", IF(((70 - J13) / (1 - K13)) &lt; 0, "Already attained", ((70 - J13) / (1 - K13))))), "-")</f>
        <v>70</v>
      </c>
      <c r="N13" s="158">
        <f>IFERROR(IF(K13 = 1, "Completed module", IF(((60 - J13) / (1 - K13)) &gt; 100, "Unattainable", IF(((60 - J13) / (1 - K13)) &lt; 0, "Already attained", ((60 - J13) / (1 - K13))))), "-")</f>
        <v>60</v>
      </c>
      <c r="O13" s="158">
        <f>IFERROR(IF(K13 = 1, "Completed module", IF(((50 - J13) / (1 - K13)) &gt; 100, "Unattainable", IF(((50 - J13) / (1 - K13)) &lt; 0, "Already attained", ((50 - J13) / (1 - K13))))), "-")</f>
        <v>50</v>
      </c>
      <c r="P13" s="166">
        <f>IFERROR(IF(K13 = 1, "Completed module", IF(((40 - J13) / (1 - K13)) &gt; 100, "Unattainable", IF(((40 - J13) / (1 - K13)) &lt; 0, "Already attained", ((40 - J13) / (1 - K13))))), "-")</f>
        <v>40</v>
      </c>
    </row>
    <row r="14" spans="1:16">
      <c r="A14" s="256"/>
      <c r="B14" s="253"/>
      <c r="C14" s="261"/>
      <c r="D14" s="259"/>
      <c r="E14" s="242"/>
      <c r="F14" s="243" t="s">
        <v>188</v>
      </c>
      <c r="G14" s="244">
        <v>0.1</v>
      </c>
      <c r="H14" s="243" t="s">
        <v>208</v>
      </c>
      <c r="I14" s="185"/>
      <c r="J14" s="148"/>
      <c r="K14" s="148"/>
      <c r="L14" s="148"/>
      <c r="M14" s="148"/>
      <c r="N14" s="148"/>
      <c r="O14" s="148"/>
      <c r="P14" s="167"/>
    </row>
    <row r="15" spans="1:16" ht="13.8" thickBot="1">
      <c r="A15" s="264"/>
      <c r="B15" s="265"/>
      <c r="C15" s="270"/>
      <c r="D15" s="347"/>
      <c r="E15" s="267"/>
      <c r="F15" s="268" t="s">
        <v>150</v>
      </c>
      <c r="G15" s="269">
        <v>0.8</v>
      </c>
      <c r="H15" s="268" t="s">
        <v>209</v>
      </c>
      <c r="I15" s="212"/>
      <c r="J15" s="183"/>
      <c r="K15" s="183"/>
      <c r="L15" s="183"/>
      <c r="M15" s="183"/>
      <c r="N15" s="183"/>
      <c r="O15" s="183"/>
      <c r="P15" s="184"/>
    </row>
    <row r="16" spans="1:16" ht="13.8" thickTop="1">
      <c r="A16" s="255" t="s">
        <v>210</v>
      </c>
      <c r="B16" s="252" t="s">
        <v>211</v>
      </c>
      <c r="C16" s="262">
        <v>15</v>
      </c>
      <c r="D16" s="258">
        <f>C16/SUM(C2:C23)</f>
        <v>0.25</v>
      </c>
      <c r="E16" s="246">
        <v>0.4</v>
      </c>
      <c r="F16" s="247" t="s">
        <v>212</v>
      </c>
      <c r="G16" s="248">
        <v>0.15</v>
      </c>
      <c r="H16" s="247" t="s">
        <v>213</v>
      </c>
      <c r="I16" s="186"/>
      <c r="J16" s="158">
        <f>IF(G16=1, I16, SUMPRODUCT(I16:I21, G16:G21))</f>
        <v>0</v>
      </c>
      <c r="K16" s="158">
        <f>SUMIF(I16:I21, "&lt;&gt;", G16:G21) / SUMIF(G16:G21, "&lt;&gt;")</f>
        <v>0</v>
      </c>
      <c r="L16" s="158" t="str">
        <f>IFERROR(J16/K16, "No grades yet")</f>
        <v>No grades yet</v>
      </c>
      <c r="M16" s="158">
        <f>IFERROR(IF(K16 = 1, "Completed module", IF(((70 - J16) / (1 - K16)) &gt; 100, "Unattainable", IF(((70 - J16) / (1 - K16)) &lt; 0, "Already attained", ((70 - J16) / (1 - K16))))), "-")</f>
        <v>70</v>
      </c>
      <c r="N16" s="158">
        <f>IFERROR(IF(K16 = 1, "Completed module", IF(((60 - J16) / (1 - K16)) &gt; 100, "Unattainable", IF(((60 - J16) / (1 - K16)) &lt; 0, "Already attained", ((60 - J16) / (1 - K16))))), "-")</f>
        <v>60</v>
      </c>
      <c r="O16" s="158">
        <f>IFERROR(IF(K16 = 1, "Completed module", IF(((50 - J16) / (1 - K16)) &gt; 100, "Unattainable", IF(((50 - J16) / (1 - K16)) &lt; 0, "Already attained", ((50 - J16) / (1 - K16))))), "-")</f>
        <v>50</v>
      </c>
      <c r="P16" s="166">
        <f>IFERROR(IF(K16 = 1, "Completed module", IF(((40 - J16) / (1 - K16)) &gt; 100, "Unattainable", IF(((40 - J16) / (1 - K16)) &lt; 0, "Already attained", ((40 - J16) / (1 - K16))))), "-")</f>
        <v>40</v>
      </c>
    </row>
    <row r="17" spans="1:16">
      <c r="A17" s="256"/>
      <c r="B17" s="253"/>
      <c r="C17" s="261"/>
      <c r="D17" s="259"/>
      <c r="E17" s="242"/>
      <c r="F17" s="243" t="s">
        <v>212</v>
      </c>
      <c r="G17" s="244">
        <v>0.35</v>
      </c>
      <c r="H17" s="243" t="s">
        <v>214</v>
      </c>
      <c r="I17" s="185"/>
      <c r="J17" s="148"/>
      <c r="K17" s="148"/>
      <c r="L17" s="148"/>
      <c r="M17" s="148"/>
      <c r="N17" s="148"/>
      <c r="O17" s="148"/>
      <c r="P17" s="167"/>
    </row>
    <row r="18" spans="1:16">
      <c r="A18" s="256"/>
      <c r="B18" s="253"/>
      <c r="C18" s="261"/>
      <c r="D18" s="259"/>
      <c r="E18" s="242"/>
      <c r="F18" s="243" t="s">
        <v>188</v>
      </c>
      <c r="G18" s="244">
        <v>0.1</v>
      </c>
      <c r="H18" s="243" t="s">
        <v>215</v>
      </c>
      <c r="I18" s="185"/>
      <c r="J18" s="148"/>
      <c r="K18" s="148"/>
      <c r="L18" s="148"/>
      <c r="M18" s="148"/>
      <c r="N18" s="148"/>
      <c r="O18" s="148"/>
      <c r="P18" s="167"/>
    </row>
    <row r="19" spans="1:16">
      <c r="A19" s="256"/>
      <c r="B19" s="253"/>
      <c r="C19" s="261"/>
      <c r="D19" s="259"/>
      <c r="E19" s="242"/>
      <c r="F19" s="243" t="s">
        <v>188</v>
      </c>
      <c r="G19" s="244">
        <v>0.1</v>
      </c>
      <c r="H19" s="243" t="s">
        <v>216</v>
      </c>
      <c r="I19" s="185"/>
      <c r="J19" s="148"/>
      <c r="K19" s="148"/>
      <c r="L19" s="148"/>
      <c r="M19" s="148"/>
      <c r="N19" s="148"/>
      <c r="O19" s="148"/>
      <c r="P19" s="167"/>
    </row>
    <row r="20" spans="1:16">
      <c r="A20" s="256"/>
      <c r="B20" s="253"/>
      <c r="C20" s="261"/>
      <c r="D20" s="259"/>
      <c r="E20" s="242"/>
      <c r="F20" s="243" t="s">
        <v>217</v>
      </c>
      <c r="G20" s="244">
        <v>0.15</v>
      </c>
      <c r="H20" s="243" t="s">
        <v>218</v>
      </c>
      <c r="I20" s="185"/>
      <c r="J20" s="148"/>
      <c r="K20" s="148"/>
      <c r="L20" s="148"/>
      <c r="M20" s="148"/>
      <c r="N20" s="148"/>
      <c r="O20" s="148"/>
      <c r="P20" s="167"/>
    </row>
    <row r="21" spans="1:16" ht="13.8" thickBot="1">
      <c r="A21" s="264"/>
      <c r="B21" s="265"/>
      <c r="C21" s="270"/>
      <c r="D21" s="347"/>
      <c r="E21" s="267"/>
      <c r="F21" s="268" t="s">
        <v>199</v>
      </c>
      <c r="G21" s="269">
        <v>0.15</v>
      </c>
      <c r="H21" s="268" t="s">
        <v>219</v>
      </c>
      <c r="I21" s="212"/>
      <c r="J21" s="183"/>
      <c r="K21" s="183"/>
      <c r="L21" s="183"/>
      <c r="M21" s="183"/>
      <c r="N21" s="183"/>
      <c r="O21" s="183"/>
      <c r="P21" s="184"/>
    </row>
    <row r="22" spans="1:16" ht="13.8" thickTop="1">
      <c r="A22" s="255" t="s">
        <v>220</v>
      </c>
      <c r="B22" s="252" t="s">
        <v>221</v>
      </c>
      <c r="C22" s="262">
        <v>10</v>
      </c>
      <c r="D22" s="258">
        <f>C22/SUM(C2:C23)</f>
        <v>0.16666666666666666</v>
      </c>
      <c r="E22" s="246">
        <v>0.4</v>
      </c>
      <c r="F22" s="247" t="s">
        <v>150</v>
      </c>
      <c r="G22" s="248">
        <v>0.9</v>
      </c>
      <c r="H22" s="247" t="s">
        <v>222</v>
      </c>
      <c r="I22" s="186"/>
      <c r="J22" s="158">
        <f>IF(G22=1, I22, SUMPRODUCT(I22:I23, G22:G23))</f>
        <v>0</v>
      </c>
      <c r="K22" s="158">
        <f>SUMIF(I22:I23, "&lt;&gt;", G22:G23) / SUMIF(G22:G23, "&lt;&gt;")</f>
        <v>0</v>
      </c>
      <c r="L22" s="158" t="str">
        <f>IFERROR(J22/K22, "No grades yet")</f>
        <v>No grades yet</v>
      </c>
      <c r="M22" s="158">
        <f>IFERROR(IF(K22 = 1, "Completed module", IF(((70 - J22) / (1 - K22)) &gt; 100, "Unattainable", IF(((70 - J22) / (1 - K22)) &lt; 0, "Already attained", ((70 - J22) / (1 - K22))))), "-")</f>
        <v>70</v>
      </c>
      <c r="N22" s="158">
        <f>IFERROR(IF(K22 = 1, "Completed module", IF(((60 - J22) / (1 - K22)) &gt; 100, "Unattainable", IF(((60 - J22) / (1 - K22)) &lt; 0, "Already attained", ((60 - J22) / (1 - K22))))), "-")</f>
        <v>60</v>
      </c>
      <c r="O22" s="158">
        <f>IFERROR(IF(K22 = 1, "Completed module", IF(((50 - J22) / (1 - K22)) &gt; 100, "Unattainable", IF(((50 - J22) / (1 - K22)) &lt; 0, "Already attained", ((50 - J22) / (1 - K22))))), "-")</f>
        <v>50</v>
      </c>
      <c r="P22" s="166">
        <f>IFERROR(IF(K22 = 1, "Completed module", IF(((40 - J22) / (1 - K22)) &gt; 100, "Unattainable", IF(((40 - J22) / (1 - K22)) &lt; 0, "Already attained", ((40 - J22) / (1 - K22))))), "-")</f>
        <v>40</v>
      </c>
    </row>
    <row r="23" spans="1:16" ht="13.8" thickBot="1">
      <c r="A23" s="257"/>
      <c r="B23" s="254"/>
      <c r="C23" s="263"/>
      <c r="D23" s="260"/>
      <c r="E23" s="249"/>
      <c r="F23" s="250" t="s">
        <v>199</v>
      </c>
      <c r="G23" s="251">
        <v>0.1</v>
      </c>
      <c r="H23" s="250" t="s">
        <v>223</v>
      </c>
      <c r="I23" s="187"/>
      <c r="J23" s="165"/>
      <c r="K23" s="165"/>
      <c r="L23" s="165"/>
      <c r="M23" s="165"/>
      <c r="N23" s="165"/>
      <c r="O23" s="165"/>
      <c r="P23" s="168"/>
    </row>
    <row r="24" spans="1:16" ht="13.8" thickTop="1"/>
  </sheetData>
  <mergeCells count="73">
    <mergeCell ref="D16:D21"/>
    <mergeCell ref="D22:D23"/>
    <mergeCell ref="P16:P21"/>
    <mergeCell ref="J22:J23"/>
    <mergeCell ref="K22:K23"/>
    <mergeCell ref="L22:L23"/>
    <mergeCell ref="M22:M23"/>
    <mergeCell ref="N22:N23"/>
    <mergeCell ref="O22:O23"/>
    <mergeCell ref="P22:P23"/>
    <mergeCell ref="K16:K21"/>
    <mergeCell ref="L16:L21"/>
    <mergeCell ref="M16:M21"/>
    <mergeCell ref="N16:N21"/>
    <mergeCell ref="O16:O21"/>
    <mergeCell ref="P9:P12"/>
    <mergeCell ref="J13:J15"/>
    <mergeCell ref="K13:K15"/>
    <mergeCell ref="L13:L15"/>
    <mergeCell ref="M13:M15"/>
    <mergeCell ref="N13:N15"/>
    <mergeCell ref="O13:O15"/>
    <mergeCell ref="P13:P15"/>
    <mergeCell ref="K9:K12"/>
    <mergeCell ref="L9:L12"/>
    <mergeCell ref="M9:M12"/>
    <mergeCell ref="N9:N12"/>
    <mergeCell ref="O9:O12"/>
    <mergeCell ref="A22:A23"/>
    <mergeCell ref="B22:B23"/>
    <mergeCell ref="C22:C23"/>
    <mergeCell ref="E22:E23"/>
    <mergeCell ref="J9:J12"/>
    <mergeCell ref="J16:J21"/>
    <mergeCell ref="A13:A15"/>
    <mergeCell ref="B13:B15"/>
    <mergeCell ref="C13:C15"/>
    <mergeCell ref="E13:E15"/>
    <mergeCell ref="A16:A21"/>
    <mergeCell ref="B16:B21"/>
    <mergeCell ref="C16:C21"/>
    <mergeCell ref="E16:E21"/>
    <mergeCell ref="D9:D12"/>
    <mergeCell ref="D13:D15"/>
    <mergeCell ref="E2:E4"/>
    <mergeCell ref="E5:E8"/>
    <mergeCell ref="A9:A12"/>
    <mergeCell ref="B9:B12"/>
    <mergeCell ref="C9:C12"/>
    <mergeCell ref="E9:E12"/>
    <mergeCell ref="A5:A8"/>
    <mergeCell ref="B5:B8"/>
    <mergeCell ref="C5:C8"/>
    <mergeCell ref="A2:A4"/>
    <mergeCell ref="B2:B4"/>
    <mergeCell ref="C2:C4"/>
    <mergeCell ref="D2:D4"/>
    <mergeCell ref="D5:D8"/>
    <mergeCell ref="J2:J4"/>
    <mergeCell ref="K2:K4"/>
    <mergeCell ref="L2:L4"/>
    <mergeCell ref="M2:M4"/>
    <mergeCell ref="F1:H1"/>
    <mergeCell ref="J5:J8"/>
    <mergeCell ref="K5:K8"/>
    <mergeCell ref="L5:L8"/>
    <mergeCell ref="M5:M8"/>
    <mergeCell ref="N5:N8"/>
    <mergeCell ref="O2:O4"/>
    <mergeCell ref="P2:P4"/>
    <mergeCell ref="O5:O8"/>
    <mergeCell ref="P5:P8"/>
    <mergeCell ref="N2:N4"/>
  </mergeCells>
  <conditionalFormatting sqref="I2:I4">
    <cfRule type="expression" dxfId="195" priority="1" stopIfTrue="1">
      <formula>ISBLANK(I2)</formula>
    </cfRule>
    <cfRule type="cellIs" dxfId="194" priority="2" stopIfTrue="1" operator="equal">
      <formula>"No grades yet"</formula>
    </cfRule>
    <cfRule type="cellIs" dxfId="193" priority="3" stopIfTrue="1" operator="greaterThanOrEqual">
      <formula>70</formula>
    </cfRule>
    <cfRule type="cellIs" dxfId="192" priority="4" stopIfTrue="1" operator="between">
      <formula>60</formula>
      <formula>69.999</formula>
    </cfRule>
    <cfRule type="cellIs" dxfId="191" priority="5" stopIfTrue="1" operator="between">
      <formula>50</formula>
      <formula>59.999</formula>
    </cfRule>
    <cfRule type="cellIs" dxfId="190" priority="6" stopIfTrue="1" operator="between">
      <formula>40</formula>
      <formula>49.999</formula>
    </cfRule>
    <cfRule type="cellIs" dxfId="189" priority="7" stopIfTrue="1" operator="lessThan">
      <formula>40</formula>
    </cfRule>
  </conditionalFormatting>
  <conditionalFormatting sqref="L2:L4">
    <cfRule type="expression" dxfId="188" priority="8" stopIfTrue="1">
      <formula>ISBLANK(L2)</formula>
    </cfRule>
    <cfRule type="cellIs" dxfId="187" priority="9" stopIfTrue="1" operator="equal">
      <formula>"No grades yet"</formula>
    </cfRule>
    <cfRule type="cellIs" dxfId="186" priority="10" stopIfTrue="1" operator="greaterThanOrEqual">
      <formula>70</formula>
    </cfRule>
    <cfRule type="cellIs" dxfId="185" priority="11" stopIfTrue="1" operator="between">
      <formula>60</formula>
      <formula>69.999</formula>
    </cfRule>
    <cfRule type="cellIs" dxfId="184" priority="12" stopIfTrue="1" operator="between">
      <formula>50</formula>
      <formula>59.999</formula>
    </cfRule>
    <cfRule type="cellIs" dxfId="183" priority="13" stopIfTrue="1" operator="between">
      <formula>40</formula>
      <formula>49.999</formula>
    </cfRule>
    <cfRule type="cellIs" dxfId="182" priority="14" stopIfTrue="1" operator="lessThan">
      <formula>40</formula>
    </cfRule>
  </conditionalFormatting>
  <conditionalFormatting sqref="I5:I8">
    <cfRule type="expression" dxfId="181" priority="15" stopIfTrue="1">
      <formula>ISBLANK(I5)</formula>
    </cfRule>
    <cfRule type="cellIs" dxfId="180" priority="16" stopIfTrue="1" operator="equal">
      <formula>"No grades yet"</formula>
    </cfRule>
    <cfRule type="cellIs" dxfId="179" priority="17" stopIfTrue="1" operator="greaterThanOrEqual">
      <formula>70</formula>
    </cfRule>
    <cfRule type="cellIs" dxfId="178" priority="18" stopIfTrue="1" operator="between">
      <formula>60</formula>
      <formula>69.999</formula>
    </cfRule>
    <cfRule type="cellIs" dxfId="177" priority="19" stopIfTrue="1" operator="between">
      <formula>50</formula>
      <formula>59.999</formula>
    </cfRule>
    <cfRule type="cellIs" dxfId="176" priority="20" stopIfTrue="1" operator="between">
      <formula>40</formula>
      <formula>49.999</formula>
    </cfRule>
    <cfRule type="cellIs" dxfId="175" priority="21" stopIfTrue="1" operator="lessThan">
      <formula>40</formula>
    </cfRule>
  </conditionalFormatting>
  <conditionalFormatting sqref="L5:L8">
    <cfRule type="expression" dxfId="174" priority="22" stopIfTrue="1">
      <formula>ISBLANK(L5)</formula>
    </cfRule>
    <cfRule type="cellIs" dxfId="173" priority="23" stopIfTrue="1" operator="equal">
      <formula>"No grades yet"</formula>
    </cfRule>
    <cfRule type="cellIs" dxfId="172" priority="24" stopIfTrue="1" operator="greaterThanOrEqual">
      <formula>70</formula>
    </cfRule>
    <cfRule type="cellIs" dxfId="171" priority="25" stopIfTrue="1" operator="between">
      <formula>60</formula>
      <formula>69.999</formula>
    </cfRule>
    <cfRule type="cellIs" dxfId="170" priority="26" stopIfTrue="1" operator="between">
      <formula>50</formula>
      <formula>59.999</formula>
    </cfRule>
    <cfRule type="cellIs" dxfId="169" priority="27" stopIfTrue="1" operator="between">
      <formula>40</formula>
      <formula>49.999</formula>
    </cfRule>
    <cfRule type="cellIs" dxfId="168" priority="28" stopIfTrue="1" operator="lessThan">
      <formula>40</formula>
    </cfRule>
  </conditionalFormatting>
  <conditionalFormatting sqref="I9:I12">
    <cfRule type="expression" dxfId="167" priority="29" stopIfTrue="1">
      <formula>ISBLANK(I9)</formula>
    </cfRule>
    <cfRule type="cellIs" dxfId="166" priority="30" stopIfTrue="1" operator="equal">
      <formula>"No grades yet"</formula>
    </cfRule>
    <cfRule type="cellIs" dxfId="165" priority="31" stopIfTrue="1" operator="greaterThanOrEqual">
      <formula>70</formula>
    </cfRule>
    <cfRule type="cellIs" dxfId="164" priority="32" stopIfTrue="1" operator="between">
      <formula>60</formula>
      <formula>69.999</formula>
    </cfRule>
    <cfRule type="cellIs" dxfId="163" priority="33" stopIfTrue="1" operator="between">
      <formula>50</formula>
      <formula>59.999</formula>
    </cfRule>
    <cfRule type="cellIs" dxfId="162" priority="34" stopIfTrue="1" operator="between">
      <formula>40</formula>
      <formula>49.999</formula>
    </cfRule>
    <cfRule type="cellIs" dxfId="161" priority="35" stopIfTrue="1" operator="lessThan">
      <formula>40</formula>
    </cfRule>
  </conditionalFormatting>
  <conditionalFormatting sqref="L9:L12">
    <cfRule type="expression" dxfId="160" priority="36" stopIfTrue="1">
      <formula>ISBLANK(L9)</formula>
    </cfRule>
    <cfRule type="cellIs" dxfId="159" priority="37" stopIfTrue="1" operator="equal">
      <formula>"No grades yet"</formula>
    </cfRule>
    <cfRule type="cellIs" dxfId="158" priority="38" stopIfTrue="1" operator="greaterThanOrEqual">
      <formula>70</formula>
    </cfRule>
    <cfRule type="cellIs" dxfId="157" priority="39" stopIfTrue="1" operator="between">
      <formula>60</formula>
      <formula>69.999</formula>
    </cfRule>
    <cfRule type="cellIs" dxfId="156" priority="40" stopIfTrue="1" operator="between">
      <formula>50</formula>
      <formula>59.999</formula>
    </cfRule>
    <cfRule type="cellIs" dxfId="155" priority="41" stopIfTrue="1" operator="between">
      <formula>40</formula>
      <formula>49.999</formula>
    </cfRule>
    <cfRule type="cellIs" dxfId="154" priority="42" stopIfTrue="1" operator="lessThan">
      <formula>40</formula>
    </cfRule>
  </conditionalFormatting>
  <conditionalFormatting sqref="I13:I15">
    <cfRule type="expression" dxfId="153" priority="43" stopIfTrue="1">
      <formula>ISBLANK(I13)</formula>
    </cfRule>
    <cfRule type="cellIs" dxfId="152" priority="44" stopIfTrue="1" operator="equal">
      <formula>"No grades yet"</formula>
    </cfRule>
    <cfRule type="cellIs" dxfId="151" priority="45" stopIfTrue="1" operator="greaterThanOrEqual">
      <formula>70</formula>
    </cfRule>
    <cfRule type="cellIs" dxfId="150" priority="46" stopIfTrue="1" operator="between">
      <formula>60</formula>
      <formula>69.999</formula>
    </cfRule>
    <cfRule type="cellIs" dxfId="149" priority="47" stopIfTrue="1" operator="between">
      <formula>50</formula>
      <formula>59.999</formula>
    </cfRule>
    <cfRule type="cellIs" dxfId="148" priority="48" stopIfTrue="1" operator="between">
      <formula>40</formula>
      <formula>49.999</formula>
    </cfRule>
    <cfRule type="cellIs" dxfId="147" priority="49" stopIfTrue="1" operator="lessThan">
      <formula>40</formula>
    </cfRule>
  </conditionalFormatting>
  <conditionalFormatting sqref="L13:L15">
    <cfRule type="expression" dxfId="146" priority="50" stopIfTrue="1">
      <formula>ISBLANK(L13)</formula>
    </cfRule>
    <cfRule type="cellIs" dxfId="145" priority="51" stopIfTrue="1" operator="equal">
      <formula>"No grades yet"</formula>
    </cfRule>
    <cfRule type="cellIs" dxfId="144" priority="52" stopIfTrue="1" operator="greaterThanOrEqual">
      <formula>70</formula>
    </cfRule>
    <cfRule type="cellIs" dxfId="143" priority="53" stopIfTrue="1" operator="between">
      <formula>60</formula>
      <formula>69.999</formula>
    </cfRule>
    <cfRule type="cellIs" dxfId="142" priority="54" stopIfTrue="1" operator="between">
      <formula>50</formula>
      <formula>59.999</formula>
    </cfRule>
    <cfRule type="cellIs" dxfId="141" priority="55" stopIfTrue="1" operator="between">
      <formula>40</formula>
      <formula>49.999</formula>
    </cfRule>
    <cfRule type="cellIs" dxfId="140" priority="56" stopIfTrue="1" operator="lessThan">
      <formula>40</formula>
    </cfRule>
  </conditionalFormatting>
  <conditionalFormatting sqref="I16:I21">
    <cfRule type="expression" dxfId="139" priority="57" stopIfTrue="1">
      <formula>ISBLANK(I16)</formula>
    </cfRule>
    <cfRule type="cellIs" dxfId="138" priority="58" stopIfTrue="1" operator="equal">
      <formula>"No grades yet"</formula>
    </cfRule>
    <cfRule type="cellIs" dxfId="137" priority="59" stopIfTrue="1" operator="greaterThanOrEqual">
      <formula>70</formula>
    </cfRule>
    <cfRule type="cellIs" dxfId="136" priority="60" stopIfTrue="1" operator="between">
      <formula>60</formula>
      <formula>69.999</formula>
    </cfRule>
    <cfRule type="cellIs" dxfId="135" priority="61" stopIfTrue="1" operator="between">
      <formula>50</formula>
      <formula>59.999</formula>
    </cfRule>
    <cfRule type="cellIs" dxfId="134" priority="62" stopIfTrue="1" operator="between">
      <formula>40</formula>
      <formula>49.999</formula>
    </cfRule>
    <cfRule type="cellIs" dxfId="133" priority="63" stopIfTrue="1" operator="lessThan">
      <formula>40</formula>
    </cfRule>
  </conditionalFormatting>
  <conditionalFormatting sqref="L16:L21">
    <cfRule type="expression" dxfId="132" priority="64" stopIfTrue="1">
      <formula>ISBLANK(L16)</formula>
    </cfRule>
    <cfRule type="cellIs" dxfId="131" priority="65" stopIfTrue="1" operator="equal">
      <formula>"No grades yet"</formula>
    </cfRule>
    <cfRule type="cellIs" dxfId="130" priority="66" stopIfTrue="1" operator="greaterThanOrEqual">
      <formula>70</formula>
    </cfRule>
    <cfRule type="cellIs" dxfId="129" priority="67" stopIfTrue="1" operator="between">
      <formula>60</formula>
      <formula>69.999</formula>
    </cfRule>
    <cfRule type="cellIs" dxfId="128" priority="68" stopIfTrue="1" operator="between">
      <formula>50</formula>
      <formula>59.999</formula>
    </cfRule>
    <cfRule type="cellIs" dxfId="127" priority="69" stopIfTrue="1" operator="between">
      <formula>40</formula>
      <formula>49.999</formula>
    </cfRule>
    <cfRule type="cellIs" dxfId="126" priority="70" stopIfTrue="1" operator="lessThan">
      <formula>40</formula>
    </cfRule>
  </conditionalFormatting>
  <conditionalFormatting sqref="I22:I23">
    <cfRule type="expression" dxfId="125" priority="71" stopIfTrue="1">
      <formula>ISBLANK(I22)</formula>
    </cfRule>
    <cfRule type="cellIs" dxfId="124" priority="72" stopIfTrue="1" operator="equal">
      <formula>"No grades yet"</formula>
    </cfRule>
    <cfRule type="cellIs" dxfId="123" priority="73" stopIfTrue="1" operator="greaterThanOrEqual">
      <formula>70</formula>
    </cfRule>
    <cfRule type="cellIs" dxfId="122" priority="74" stopIfTrue="1" operator="between">
      <formula>60</formula>
      <formula>69.999</formula>
    </cfRule>
    <cfRule type="cellIs" dxfId="121" priority="75" stopIfTrue="1" operator="between">
      <formula>50</formula>
      <formula>59.999</formula>
    </cfRule>
    <cfRule type="cellIs" dxfId="120" priority="76" stopIfTrue="1" operator="between">
      <formula>40</formula>
      <formula>49.999</formula>
    </cfRule>
    <cfRule type="cellIs" dxfId="119" priority="77" stopIfTrue="1" operator="lessThan">
      <formula>40</formula>
    </cfRule>
  </conditionalFormatting>
  <conditionalFormatting sqref="L22:L23">
    <cfRule type="expression" dxfId="118" priority="78" stopIfTrue="1">
      <formula>ISBLANK(L22)</formula>
    </cfRule>
    <cfRule type="cellIs" dxfId="117" priority="79" stopIfTrue="1" operator="equal">
      <formula>"No grades yet"</formula>
    </cfRule>
    <cfRule type="cellIs" dxfId="116" priority="80" stopIfTrue="1" operator="greaterThanOrEqual">
      <formula>70</formula>
    </cfRule>
    <cfRule type="cellIs" dxfId="115" priority="81" stopIfTrue="1" operator="between">
      <formula>60</formula>
      <formula>69.999</formula>
    </cfRule>
    <cfRule type="cellIs" dxfId="114" priority="82" stopIfTrue="1" operator="between">
      <formula>50</formula>
      <formula>59.999</formula>
    </cfRule>
    <cfRule type="cellIs" dxfId="113" priority="83" stopIfTrue="1" operator="between">
      <formula>40</formula>
      <formula>49.999</formula>
    </cfRule>
    <cfRule type="cellIs" dxfId="112" priority="84" stopIfTrue="1" operator="lessThan">
      <formula>40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P27"/>
  <sheetViews>
    <sheetView tabSelected="1" zoomScale="85" workbookViewId="0">
      <selection activeCell="D27" sqref="D27"/>
    </sheetView>
  </sheetViews>
  <sheetFormatPr defaultColWidth="12.6640625" defaultRowHeight="15.75" customHeight="1"/>
  <cols>
    <col min="2" max="2" width="22.44140625" customWidth="1"/>
    <col min="7" max="7" width="10.21875" customWidth="1"/>
    <col min="8" max="8" width="33.33203125" customWidth="1"/>
    <col min="9" max="9" width="9" customWidth="1"/>
    <col min="10" max="10" width="14.21875" hidden="1" customWidth="1"/>
    <col min="11" max="11" width="13.88671875" hidden="1" customWidth="1"/>
    <col min="12" max="12" width="17.5546875" customWidth="1"/>
    <col min="13" max="13" width="20.88671875" hidden="1" customWidth="1"/>
    <col min="14" max="14" width="22.44140625" hidden="1" customWidth="1"/>
    <col min="15" max="16" width="12.6640625" hidden="1" customWidth="1"/>
  </cols>
  <sheetData>
    <row r="1" spans="1:16" ht="40.799999999999997" thickTop="1" thickBot="1">
      <c r="A1" s="58" t="s">
        <v>65</v>
      </c>
      <c r="B1" s="59" t="s">
        <v>1</v>
      </c>
      <c r="C1" s="59" t="s">
        <v>0</v>
      </c>
      <c r="D1" s="59" t="s">
        <v>502</v>
      </c>
      <c r="E1" s="59" t="s">
        <v>92</v>
      </c>
      <c r="F1" s="99" t="s">
        <v>224</v>
      </c>
      <c r="G1" s="99"/>
      <c r="H1" s="99"/>
      <c r="I1" s="59" t="s">
        <v>2</v>
      </c>
      <c r="J1" s="59" t="s">
        <v>3</v>
      </c>
      <c r="K1" s="59" t="s">
        <v>4</v>
      </c>
      <c r="L1" s="59" t="s">
        <v>5</v>
      </c>
      <c r="M1" s="59" t="s">
        <v>193</v>
      </c>
      <c r="N1" s="59" t="s">
        <v>7</v>
      </c>
      <c r="O1" s="59" t="s">
        <v>194</v>
      </c>
      <c r="P1" s="60" t="s">
        <v>195</v>
      </c>
    </row>
    <row r="2" spans="1:16" ht="13.8" thickTop="1">
      <c r="A2" s="172" t="s">
        <v>142</v>
      </c>
      <c r="B2" s="169" t="s">
        <v>40</v>
      </c>
      <c r="C2" s="152">
        <v>5</v>
      </c>
      <c r="D2" s="320">
        <f>C2/SUM(C2:C26)</f>
        <v>8.3333333333333329E-2</v>
      </c>
      <c r="E2" s="153">
        <v>0.4</v>
      </c>
      <c r="F2" s="360" t="s">
        <v>17</v>
      </c>
      <c r="G2" s="155">
        <v>0.8</v>
      </c>
      <c r="H2" s="154" t="s">
        <v>41</v>
      </c>
      <c r="I2" s="156">
        <v>30</v>
      </c>
      <c r="J2" s="157">
        <f>IF(G2=1, I2, SUMPRODUCT(I2:I4, G2:G4))</f>
        <v>35</v>
      </c>
      <c r="K2" s="157">
        <f>SUMIF(I2:I4, "&lt;&gt;", G2:G4) / SUMIF(G2:G4, "&lt;&gt;")</f>
        <v>1</v>
      </c>
      <c r="L2" s="157">
        <f>IFERROR(J2/K2, "No grades yet")</f>
        <v>35</v>
      </c>
      <c r="M2" s="157" t="str">
        <f>IFERROR(IF(K2 = 1, "Completed module", IF(((70 - J2) / (1 - K2)) &gt; 100, "Unattainable", IF(((70 - J2) / (1 - K2)) &lt; 0, "Already attained", ((70 - J2) / (1 - K2))))), "-")</f>
        <v>Completed module</v>
      </c>
      <c r="N2" s="157" t="str">
        <f>IFERROR(IF(K2 = 1, "Completed module", IF(((60 - J2) / (1 - K2)) &gt; 100, "Unattainable", IF(((60 - J2) / (1 - K2)) &lt; 0, "Already attained", ((60 - J2) / (1 - K2))))), "-")</f>
        <v>Completed module</v>
      </c>
      <c r="O2" s="158" t="str">
        <f>IFERROR(IF(K2 = 1, "Completed module", IF(((50 - J2) / (1 - K2)) &gt; 100, "Unattainable", IF(((50 - J2) / (1 - K2)) &lt; 0, "Already attained", ((50 - J2) / (1 - K2))))), "-")</f>
        <v>Completed module</v>
      </c>
      <c r="P2" s="166" t="str">
        <f>IFERROR(IF(K2 = 1, "Completed module", IF(((40 - J2) / (1 - K2)) &gt; 100, "Unattainable", IF(((40 - J2) / (1 - K2)) &lt; 0, "Already attained", ((40 - J2) / (1 - K2))))), "-")</f>
        <v>Completed module</v>
      </c>
    </row>
    <row r="3" spans="1:16" ht="13.2">
      <c r="A3" s="173"/>
      <c r="B3" s="170"/>
      <c r="C3" s="145"/>
      <c r="D3" s="318"/>
      <c r="E3" s="146"/>
      <c r="F3" s="149" t="s">
        <v>32</v>
      </c>
      <c r="G3" s="150">
        <v>0.1</v>
      </c>
      <c r="H3" s="149" t="s">
        <v>42</v>
      </c>
      <c r="I3" s="151">
        <v>40</v>
      </c>
      <c r="J3" s="147"/>
      <c r="K3" s="147"/>
      <c r="L3" s="147"/>
      <c r="M3" s="147"/>
      <c r="N3" s="147"/>
      <c r="O3" s="148"/>
      <c r="P3" s="167"/>
    </row>
    <row r="4" spans="1:16" ht="13.8" thickBot="1">
      <c r="A4" s="175"/>
      <c r="B4" s="176"/>
      <c r="C4" s="177"/>
      <c r="D4" s="321"/>
      <c r="E4" s="178"/>
      <c r="F4" s="179" t="s">
        <v>32</v>
      </c>
      <c r="G4" s="180">
        <v>0.1</v>
      </c>
      <c r="H4" s="179" t="s">
        <v>43</v>
      </c>
      <c r="I4" s="181">
        <v>70</v>
      </c>
      <c r="J4" s="182"/>
      <c r="K4" s="182"/>
      <c r="L4" s="182"/>
      <c r="M4" s="182"/>
      <c r="N4" s="182"/>
      <c r="O4" s="183"/>
      <c r="P4" s="184"/>
    </row>
    <row r="5" spans="1:16" ht="13.8" thickTop="1">
      <c r="A5" s="172" t="s">
        <v>137</v>
      </c>
      <c r="B5" s="169" t="s">
        <v>8</v>
      </c>
      <c r="C5" s="152">
        <v>10</v>
      </c>
      <c r="D5" s="320">
        <f>C5/SUM(C2:C26)</f>
        <v>0.16666666666666666</v>
      </c>
      <c r="E5" s="153">
        <v>0.4</v>
      </c>
      <c r="F5" s="154" t="s">
        <v>9</v>
      </c>
      <c r="G5" s="155">
        <v>0.25</v>
      </c>
      <c r="H5" s="154" t="s">
        <v>10</v>
      </c>
      <c r="I5" s="156"/>
      <c r="J5" s="157">
        <f>IF(G5=1, I5, SUMPRODUCT(I5:I8, G5:G8))</f>
        <v>58</v>
      </c>
      <c r="K5" s="157">
        <f>SUMIF(I5:I8, "&lt;&gt;", G5:G8) / SUMIF(G5:G8, "&lt;&gt;")</f>
        <v>0.75</v>
      </c>
      <c r="L5" s="157">
        <f>IFERROR(J5/K5, "No grades yet")</f>
        <v>77.333333333333329</v>
      </c>
      <c r="M5" s="157">
        <f>IFERROR(IF(K5 = 1, "Completed module", IF(((70 - J5) / (1 - K5)) &gt; 100, "Unattainable", IF(((70 - J5) / (1 - K5)) &lt; 0, "Already attained", ((70 - J5) / (1 - K5))))), "-")</f>
        <v>48</v>
      </c>
      <c r="N5" s="157">
        <f>IFERROR(IF(K5 = 1, "Completed module", IF(((60 - J5) / (1 - K5)) &gt; 100, "Unattainable", IF(((60 - J5) / (1 - K5)) &lt; 0, "Already attained", ((60 - J5) / (1 - K5))))), "-")</f>
        <v>8</v>
      </c>
      <c r="O5" s="158" t="str">
        <f>IFERROR(IF(K5 = 1, "Completed module", IF(((50 - J5) / (1 - K5)) &gt; 100, "Unattainable", IF(((50 - J5) / (1 - K5)) &lt; 0, "Already attained", ((50 - J5) / (1 - K5))))), "-")</f>
        <v>Already attained</v>
      </c>
      <c r="P5" s="166" t="str">
        <f>IFERROR(IF(K5 = 1, "Completed module", IF(((40 - J5) / (1 - K5)) &gt; 100, "Unattainable", IF(((40 - J5) / (1 - K5)) &lt; 0, "Already attained", ((40 - J5) / (1 - K5))))), "-")</f>
        <v>Already attained</v>
      </c>
    </row>
    <row r="6" spans="1:16" ht="13.2">
      <c r="A6" s="173"/>
      <c r="B6" s="170"/>
      <c r="C6" s="145"/>
      <c r="D6" s="318"/>
      <c r="E6" s="146"/>
      <c r="F6" s="149" t="s">
        <v>11</v>
      </c>
      <c r="G6" s="150">
        <v>0.25</v>
      </c>
      <c r="H6" s="149" t="s">
        <v>12</v>
      </c>
      <c r="I6" s="151">
        <v>73</v>
      </c>
      <c r="J6" s="147"/>
      <c r="K6" s="147"/>
      <c r="L6" s="147"/>
      <c r="M6" s="147"/>
      <c r="N6" s="147"/>
      <c r="O6" s="148"/>
      <c r="P6" s="167"/>
    </row>
    <row r="7" spans="1:16" ht="13.2">
      <c r="A7" s="173"/>
      <c r="B7" s="170"/>
      <c r="C7" s="145"/>
      <c r="D7" s="318"/>
      <c r="E7" s="146"/>
      <c r="F7" s="149" t="s">
        <v>13</v>
      </c>
      <c r="G7" s="150">
        <v>0.25</v>
      </c>
      <c r="H7" s="149" t="s">
        <v>14</v>
      </c>
      <c r="I7" s="151">
        <v>69</v>
      </c>
      <c r="J7" s="147"/>
      <c r="K7" s="147"/>
      <c r="L7" s="147"/>
      <c r="M7" s="147"/>
      <c r="N7" s="147"/>
      <c r="O7" s="148"/>
      <c r="P7" s="167"/>
    </row>
    <row r="8" spans="1:16" ht="13.8" thickBot="1">
      <c r="A8" s="175"/>
      <c r="B8" s="176"/>
      <c r="C8" s="177"/>
      <c r="D8" s="321"/>
      <c r="E8" s="178"/>
      <c r="F8" s="179" t="s">
        <v>9</v>
      </c>
      <c r="G8" s="180">
        <v>0.25</v>
      </c>
      <c r="H8" s="179" t="s">
        <v>15</v>
      </c>
      <c r="I8" s="181">
        <v>90</v>
      </c>
      <c r="J8" s="182"/>
      <c r="K8" s="182"/>
      <c r="L8" s="182"/>
      <c r="M8" s="182"/>
      <c r="N8" s="182"/>
      <c r="O8" s="183"/>
      <c r="P8" s="184"/>
    </row>
    <row r="9" spans="1:16" ht="13.8" thickTop="1">
      <c r="A9" s="172" t="s">
        <v>143</v>
      </c>
      <c r="B9" s="169" t="s">
        <v>44</v>
      </c>
      <c r="C9" s="152">
        <v>10</v>
      </c>
      <c r="D9" s="320">
        <f>C9/SUM(C2:C26)</f>
        <v>0.16666666666666666</v>
      </c>
      <c r="E9" s="153">
        <v>0.4</v>
      </c>
      <c r="F9" s="154" t="s">
        <v>17</v>
      </c>
      <c r="G9" s="155">
        <v>0.7</v>
      </c>
      <c r="H9" s="154" t="s">
        <v>45</v>
      </c>
      <c r="I9" s="156"/>
      <c r="J9" s="157">
        <f>IF(G9=1, I9, SUMPRODUCT(I9:I11, G9:G11))</f>
        <v>14.55</v>
      </c>
      <c r="K9" s="157">
        <f>SUMIF(I9:I11, "&lt;&gt;", G9:G11) / SUMIF(G9:G11, "&lt;&gt;")</f>
        <v>0.3</v>
      </c>
      <c r="L9" s="157">
        <f>IFERROR(J9/K9, "No grades yet")</f>
        <v>48.500000000000007</v>
      </c>
      <c r="M9" s="157">
        <f>IFERROR(IF(K9 = 1, "Completed module", IF(((70 - J9) / (1 - K9)) &gt; 100, "Unattainable", IF(((70 - J9) / (1 - K9)) &lt; 0, "Already attained", ((70 - J9) / (1 - K9))))), "-")</f>
        <v>79.214285714285722</v>
      </c>
      <c r="N9" s="157">
        <f>IFERROR(IF(K9 = 1, "Completed module", IF(((60 - J9) / (1 - K9)) &gt; 100, "Unattainable", IF(((60 - J9) / (1 - K9)) &lt; 0, "Already attained", ((60 - J9) / (1 - K9))))), "-")</f>
        <v>64.928571428571431</v>
      </c>
      <c r="O9" s="158">
        <f>IFERROR(IF(K9 = 1, "Completed module", IF(((50 - J9) / (1 - K9)) &gt; 100, "Unattainable", IF(((50 - J9) / (1 - K9)) &lt; 0, "Already attained", ((50 - J9) / (1 - K9))))), "-")</f>
        <v>50.642857142857153</v>
      </c>
      <c r="P9" s="166">
        <f>IFERROR(IF(K9 = 1, "Completed module", IF(((40 - J9) / (1 - K9)) &gt; 100, "Unattainable", IF(((40 - J9) / (1 - K9)) &lt; 0, "Already attained", ((40 - J9) / (1 - K9))))), "-")</f>
        <v>36.357142857142861</v>
      </c>
    </row>
    <row r="10" spans="1:16" ht="13.2">
      <c r="A10" s="173"/>
      <c r="B10" s="170"/>
      <c r="C10" s="145"/>
      <c r="D10" s="318"/>
      <c r="E10" s="146"/>
      <c r="F10" s="149" t="s">
        <v>29</v>
      </c>
      <c r="G10" s="150">
        <v>0.15</v>
      </c>
      <c r="H10" s="149" t="s">
        <v>46</v>
      </c>
      <c r="I10" s="151">
        <v>45</v>
      </c>
      <c r="J10" s="147"/>
      <c r="K10" s="147"/>
      <c r="L10" s="147"/>
      <c r="M10" s="147"/>
      <c r="N10" s="147"/>
      <c r="O10" s="148"/>
      <c r="P10" s="167"/>
    </row>
    <row r="11" spans="1:16" ht="13.8" thickBot="1">
      <c r="A11" s="175"/>
      <c r="B11" s="176"/>
      <c r="C11" s="177"/>
      <c r="D11" s="321"/>
      <c r="E11" s="178"/>
      <c r="F11" s="179" t="s">
        <v>47</v>
      </c>
      <c r="G11" s="180">
        <v>0.15</v>
      </c>
      <c r="H11" s="179" t="s">
        <v>48</v>
      </c>
      <c r="I11" s="181">
        <v>52</v>
      </c>
      <c r="J11" s="182"/>
      <c r="K11" s="182"/>
      <c r="L11" s="182"/>
      <c r="M11" s="182"/>
      <c r="N11" s="182"/>
      <c r="O11" s="183"/>
      <c r="P11" s="184"/>
    </row>
    <row r="12" spans="1:16" ht="13.8" thickTop="1">
      <c r="A12" s="172" t="s">
        <v>144</v>
      </c>
      <c r="B12" s="169" t="s">
        <v>49</v>
      </c>
      <c r="C12" s="152">
        <v>10</v>
      </c>
      <c r="D12" s="320">
        <f>C12/SUM(C2:C26)</f>
        <v>0.16666666666666666</v>
      </c>
      <c r="E12" s="153">
        <v>0.4</v>
      </c>
      <c r="F12" s="154" t="s">
        <v>50</v>
      </c>
      <c r="G12" s="155">
        <v>0.3</v>
      </c>
      <c r="H12" s="154" t="s">
        <v>51</v>
      </c>
      <c r="I12" s="156"/>
      <c r="J12" s="157">
        <f>IF(G12=1, I12, SUMPRODUCT(I12:I16, G12:G16))</f>
        <v>0</v>
      </c>
      <c r="K12" s="157">
        <f>SUMIF(I12:I16, "&lt;&gt;", G12:G16) / SUMIF(G12:G16, "&lt;&gt;")</f>
        <v>0</v>
      </c>
      <c r="L12" s="157" t="str">
        <f>IFERROR(J12/K12, "No grades yet")</f>
        <v>No grades yet</v>
      </c>
      <c r="M12" s="157">
        <f>IFERROR(IF(K12 = 1, "Completed module", IF(((70 - J12) / (1 - K12)) &gt; 100, "Unattainable", IF(((70 - J12) / (1 - K12)) &lt; 0, "Already attained", ((70 - J12) / (1 - K12))))), "-")</f>
        <v>70</v>
      </c>
      <c r="N12" s="157">
        <f>IFERROR(IF(K12 = 1, "Completed module", IF(((60 - J12) / (1 - K12)) &gt; 100, "Unattainable", IF(((60 - J12) / (1 - K12)) &lt; 0, "Already attained", ((60 - J12) / (1 - K12))))), "-")</f>
        <v>60</v>
      </c>
      <c r="O12" s="158">
        <f>IFERROR(IF(K12 = 1, "Completed module", IF(((50 - J12) / (1 - K12)) &gt; 100, "Unattainable", IF(((50 - J12) / (1 - K12)) &lt; 0, "Already attained", ((50 - J12) / (1 - K12))))), "-")</f>
        <v>50</v>
      </c>
      <c r="P12" s="166">
        <f>IFERROR(IF(K12 = 1, "Completed module", IF(((40 - J12) / (1 - K12)) &gt; 100, "Unattainable", IF(((40 - J12) / (1 - K12)) &lt; 0, "Already attained", ((40 - J12) / (1 - K12))))), "-")</f>
        <v>40</v>
      </c>
    </row>
    <row r="13" spans="1:16" ht="13.2">
      <c r="A13" s="173"/>
      <c r="B13" s="170"/>
      <c r="C13" s="145"/>
      <c r="D13" s="318"/>
      <c r="E13" s="146"/>
      <c r="F13" s="149" t="s">
        <v>17</v>
      </c>
      <c r="G13" s="150">
        <v>0.6</v>
      </c>
      <c r="H13" s="149" t="s">
        <v>52</v>
      </c>
      <c r="I13" s="151"/>
      <c r="J13" s="147"/>
      <c r="K13" s="147"/>
      <c r="L13" s="147"/>
      <c r="M13" s="147"/>
      <c r="N13" s="147"/>
      <c r="O13" s="148"/>
      <c r="P13" s="167"/>
    </row>
    <row r="14" spans="1:16" ht="13.2">
      <c r="A14" s="173"/>
      <c r="B14" s="170"/>
      <c r="C14" s="145"/>
      <c r="D14" s="318"/>
      <c r="E14" s="146"/>
      <c r="F14" s="149" t="s">
        <v>29</v>
      </c>
      <c r="G14" s="150">
        <v>0.05</v>
      </c>
      <c r="H14" s="149" t="s">
        <v>29</v>
      </c>
      <c r="I14" s="151"/>
      <c r="J14" s="147"/>
      <c r="K14" s="147"/>
      <c r="L14" s="147"/>
      <c r="M14" s="147"/>
      <c r="N14" s="147"/>
      <c r="O14" s="148"/>
      <c r="P14" s="167"/>
    </row>
    <row r="15" spans="1:16" ht="13.2">
      <c r="A15" s="173"/>
      <c r="B15" s="170"/>
      <c r="C15" s="145"/>
      <c r="D15" s="318"/>
      <c r="E15" s="146"/>
      <c r="F15" s="149" t="s">
        <v>32</v>
      </c>
      <c r="G15" s="150">
        <v>2.5000000000000001E-2</v>
      </c>
      <c r="H15" s="149" t="s">
        <v>53</v>
      </c>
      <c r="I15" s="151"/>
      <c r="J15" s="147"/>
      <c r="K15" s="147"/>
      <c r="L15" s="147"/>
      <c r="M15" s="147"/>
      <c r="N15" s="147"/>
      <c r="O15" s="148"/>
      <c r="P15" s="167"/>
    </row>
    <row r="16" spans="1:16" ht="13.8" thickBot="1">
      <c r="A16" s="175"/>
      <c r="B16" s="176"/>
      <c r="C16" s="177"/>
      <c r="D16" s="321"/>
      <c r="E16" s="178"/>
      <c r="F16" s="179" t="s">
        <v>32</v>
      </c>
      <c r="G16" s="180">
        <v>2.5000000000000001E-2</v>
      </c>
      <c r="H16" s="179" t="s">
        <v>54</v>
      </c>
      <c r="I16" s="181"/>
      <c r="J16" s="182"/>
      <c r="K16" s="182"/>
      <c r="L16" s="182"/>
      <c r="M16" s="182"/>
      <c r="N16" s="182"/>
      <c r="O16" s="183"/>
      <c r="P16" s="184"/>
    </row>
    <row r="17" spans="1:16" ht="13.8" thickTop="1">
      <c r="A17" s="375" t="s">
        <v>145</v>
      </c>
      <c r="B17" s="373" t="s">
        <v>55</v>
      </c>
      <c r="C17" s="367">
        <v>7.5</v>
      </c>
      <c r="D17" s="368">
        <f>C17/SUM(C2:C26)</f>
        <v>0.125</v>
      </c>
      <c r="E17" s="369">
        <v>0.4</v>
      </c>
      <c r="F17" s="360" t="s">
        <v>17</v>
      </c>
      <c r="G17" s="370">
        <v>0.7</v>
      </c>
      <c r="H17" s="360" t="s">
        <v>41</v>
      </c>
      <c r="I17" s="371"/>
      <c r="J17" s="372">
        <f>IF(G17=1, I17, SUMPRODUCT(I17:I19, G17:G19))</f>
        <v>6</v>
      </c>
      <c r="K17" s="372">
        <f>SUMIF(I17:I19, "&lt;&gt;", G17:G19) / SUMIF(G17:G19, "&lt;&gt;")</f>
        <v>0.10000000000000002</v>
      </c>
      <c r="L17" s="372">
        <f>IFERROR(J17/K17, "No grades yet")</f>
        <v>59.999999999999986</v>
      </c>
      <c r="M17" s="372">
        <f>IFERROR(IF(K17 = 1, "Completed module", IF(((70 - J17) / (1 - K17)) &gt; 100, "Unattainable", IF(((70 - J17) / (1 - K17)) &lt; 0, "Already attained", ((70 - J17) / (1 - K17))))), "-")</f>
        <v>71.111111111111114</v>
      </c>
      <c r="N17" s="372">
        <f>IFERROR(IF(K17 = 1, "Completed module", IF(((60 - J17) / (1 - K17)) &gt; 100, "Unattainable", IF(((60 - J17) / (1 - K17)) &lt; 0, "Already attained", ((60 - J17) / (1 - K17))))), "-")</f>
        <v>60</v>
      </c>
      <c r="O17" s="158">
        <f>IFERROR(IF(K17 = 1, "Completed module", IF(((50 - J17) / (1 - K17)) &gt; 100, "Unattainable", IF(((50 - J17) / (1 - K17)) &lt; 0, "Already attained", ((50 - J17) / (1 - K17))))), "-")</f>
        <v>48.888888888888886</v>
      </c>
      <c r="P17" s="166">
        <f>IFERROR(IF(K17 = 1, "Completed module", IF(((40 - J17) / (1 - K17)) &gt; 100, "Unattainable", IF(((40 - J17) / (1 - K17)) &lt; 0, "Already attained", ((40 - J17) / (1 - K17))))), "-")</f>
        <v>37.777777777777779</v>
      </c>
    </row>
    <row r="18" spans="1:16" ht="13.2">
      <c r="A18" s="376"/>
      <c r="B18" s="374"/>
      <c r="C18" s="361"/>
      <c r="D18" s="362"/>
      <c r="E18" s="363"/>
      <c r="F18" s="359" t="s">
        <v>20</v>
      </c>
      <c r="G18" s="365">
        <v>0.2</v>
      </c>
      <c r="H18" s="359" t="s">
        <v>56</v>
      </c>
      <c r="I18" s="366"/>
      <c r="J18" s="364"/>
      <c r="K18" s="364"/>
      <c r="L18" s="364"/>
      <c r="M18" s="364"/>
      <c r="N18" s="364"/>
      <c r="O18" s="148"/>
      <c r="P18" s="167"/>
    </row>
    <row r="19" spans="1:16" ht="13.8" thickBot="1">
      <c r="A19" s="377"/>
      <c r="B19" s="378"/>
      <c r="C19" s="379"/>
      <c r="D19" s="380"/>
      <c r="E19" s="381"/>
      <c r="F19" s="382" t="s">
        <v>20</v>
      </c>
      <c r="G19" s="383">
        <v>0.1</v>
      </c>
      <c r="H19" s="382" t="s">
        <v>57</v>
      </c>
      <c r="I19" s="384">
        <v>60</v>
      </c>
      <c r="J19" s="385"/>
      <c r="K19" s="385"/>
      <c r="L19" s="385"/>
      <c r="M19" s="385"/>
      <c r="N19" s="385"/>
      <c r="O19" s="183"/>
      <c r="P19" s="184"/>
    </row>
    <row r="20" spans="1:16" ht="13.8" thickTop="1">
      <c r="A20" s="375" t="s">
        <v>146</v>
      </c>
      <c r="B20" s="373" t="s">
        <v>58</v>
      </c>
      <c r="C20" s="367">
        <v>5</v>
      </c>
      <c r="D20" s="368">
        <f>C20/SUM(C2:C26)</f>
        <v>8.3333333333333329E-2</v>
      </c>
      <c r="E20" s="369">
        <v>0.4</v>
      </c>
      <c r="F20" s="360" t="s">
        <v>17</v>
      </c>
      <c r="G20" s="370">
        <v>0.6</v>
      </c>
      <c r="H20" s="360" t="s">
        <v>41</v>
      </c>
      <c r="I20" s="156"/>
      <c r="J20" s="372">
        <f>IF(G20=1, I20, SUMPRODUCT(I20:I21, G20:G21))</f>
        <v>35.6</v>
      </c>
      <c r="K20" s="372">
        <f>SUMIF(I20:I21, "&lt;&gt;", G20:G21) / SUMIF(G20:G21, "&lt;&gt;")</f>
        <v>0.4</v>
      </c>
      <c r="L20" s="157">
        <f>IFERROR(J20/K20, "No grades yet")</f>
        <v>89</v>
      </c>
      <c r="M20" s="372">
        <f>IFERROR(IF(K20 = 1, "Completed module", IF(((70 - J20) / (1 - K20)) &gt; 100, "Unattainable", IF(((70 - J20) / (1 - K20)) &lt; 0, "Already attained", ((70 - J20) / (1 - K20))))), "-")</f>
        <v>57.333333333333336</v>
      </c>
      <c r="N20" s="372">
        <f>IFERROR(IF(K20 = 1, "Completed module", IF(((60 - J20) / (1 - K20)) &gt; 100, "Unattainable", IF(((60 - J20) / (1 - K20)) &lt; 0, "Already attained", ((60 - J20) / (1 - K20))))), "-")</f>
        <v>40.666666666666664</v>
      </c>
      <c r="O20" s="158">
        <f>IFERROR(IF(K20 = 1, "Completed module", IF(((50 - J20) / (1 - K20)) &gt; 100, "Unattainable", IF(((50 - J20) / (1 - K20)) &lt; 0, "Already attained", ((50 - J20) / (1 - K20))))), "-")</f>
        <v>24</v>
      </c>
      <c r="P20" s="166">
        <f>IFERROR(IF(K20 = 1, "Completed module", IF(((40 - J20) / (1 - K20)) &gt; 100, "Unattainable", IF(((40 - J20) / (1 - K20)) &lt; 0, "Already attained", ((40 - J20) / (1 - K20))))), "-")</f>
        <v>7.3333333333333313</v>
      </c>
    </row>
    <row r="21" spans="1:16" ht="13.8" thickBot="1">
      <c r="A21" s="377"/>
      <c r="B21" s="378"/>
      <c r="C21" s="379"/>
      <c r="D21" s="380"/>
      <c r="E21" s="381"/>
      <c r="F21" s="382" t="s">
        <v>50</v>
      </c>
      <c r="G21" s="383">
        <v>0.4</v>
      </c>
      <c r="H21" s="382" t="s">
        <v>59</v>
      </c>
      <c r="I21" s="181">
        <v>89</v>
      </c>
      <c r="J21" s="385"/>
      <c r="K21" s="385"/>
      <c r="L21" s="182"/>
      <c r="M21" s="385"/>
      <c r="N21" s="385"/>
      <c r="O21" s="183"/>
      <c r="P21" s="184"/>
    </row>
    <row r="22" spans="1:16" ht="13.8" thickTop="1">
      <c r="A22" s="172" t="s">
        <v>141</v>
      </c>
      <c r="B22" s="169" t="s">
        <v>36</v>
      </c>
      <c r="C22" s="152">
        <v>5</v>
      </c>
      <c r="D22" s="320">
        <f>C22/SUM(C2:C26)</f>
        <v>8.3333333333333329E-2</v>
      </c>
      <c r="E22" s="153">
        <v>0.4</v>
      </c>
      <c r="F22" s="154" t="s">
        <v>37</v>
      </c>
      <c r="G22" s="155">
        <v>0.5</v>
      </c>
      <c r="H22" s="154" t="s">
        <v>38</v>
      </c>
      <c r="I22" s="156">
        <v>43.6</v>
      </c>
      <c r="J22" s="157">
        <f>IF(G22=1, I22, SUMPRODUCT(I22:I23, G22:G23))</f>
        <v>67.95</v>
      </c>
      <c r="K22" s="157">
        <f>SUMIF(I22:I23, "&lt;&gt;", G22:G23) / SUMIF(G22:G23, "&lt;&gt;")</f>
        <v>1</v>
      </c>
      <c r="L22" s="157">
        <f>IFERROR(J22/K22, "No grades yet")</f>
        <v>67.95</v>
      </c>
      <c r="M22" s="157" t="str">
        <f>IFERROR(IF(K22 = 1, "Completed module", IF(((70 - J22) / (1 - K22)) &gt; 100, "Unattainable", IF(((70 - J22) / (1 - K22)) &lt; 0, "Already attained", ((70 - J22) / (1 - K22))))), "-")</f>
        <v>Completed module</v>
      </c>
      <c r="N22" s="157" t="str">
        <f>IFERROR(IF(K22 = 1, "Completed module", IF(((60 - J22) / (1 - K22)) &gt; 100, "Unattainable", IF(((60 - J22) / (1 - K22)) &lt; 0, "Already attained", ((60 - J22) / (1 - K22))))), "-")</f>
        <v>Completed module</v>
      </c>
      <c r="O22" s="158" t="str">
        <f>IFERROR(IF(K22 = 1, "Completed module", IF(((50 - J22) / (1 - K22)) &gt; 100, "Unattainable", IF(((50 - J22) / (1 - K22)) &lt; 0, "Already attained", ((50 - J22) / (1 - K22))))), "-")</f>
        <v>Completed module</v>
      </c>
      <c r="P22" s="166" t="str">
        <f>IFERROR(IF(K22 = 1, "Completed module", IF(((40 - J22) / (1 - K22)) &gt; 100, "Unattainable", IF(((40 - J22) / (1 - K22)) &lt; 0, "Already attained", ((40 - J22) / (1 - K22))))), "-")</f>
        <v>Completed module</v>
      </c>
    </row>
    <row r="23" spans="1:16" ht="13.8" thickBot="1">
      <c r="A23" s="175"/>
      <c r="B23" s="176"/>
      <c r="C23" s="177"/>
      <c r="D23" s="321"/>
      <c r="E23" s="178"/>
      <c r="F23" s="179" t="s">
        <v>37</v>
      </c>
      <c r="G23" s="180">
        <v>0.5</v>
      </c>
      <c r="H23" s="179" t="s">
        <v>39</v>
      </c>
      <c r="I23" s="181">
        <v>92.3</v>
      </c>
      <c r="J23" s="182"/>
      <c r="K23" s="182"/>
      <c r="L23" s="182"/>
      <c r="M23" s="182"/>
      <c r="N23" s="182"/>
      <c r="O23" s="183"/>
      <c r="P23" s="184"/>
    </row>
    <row r="24" spans="1:16" ht="13.8" thickTop="1">
      <c r="A24" s="172" t="s">
        <v>147</v>
      </c>
      <c r="B24" s="169" t="s">
        <v>60</v>
      </c>
      <c r="C24" s="152">
        <v>7.5</v>
      </c>
      <c r="D24" s="320">
        <f>C24/SUM(C2:C26)</f>
        <v>0.125</v>
      </c>
      <c r="E24" s="153">
        <v>0.4</v>
      </c>
      <c r="F24" s="154" t="s">
        <v>17</v>
      </c>
      <c r="G24" s="155">
        <v>0.7</v>
      </c>
      <c r="H24" s="154" t="s">
        <v>61</v>
      </c>
      <c r="I24" s="156">
        <v>31.3</v>
      </c>
      <c r="J24" s="157">
        <f>IF(G24=1, I24, SUMPRODUCT(I24:I26, G24:G26))</f>
        <v>35.486000000000004</v>
      </c>
      <c r="K24" s="157">
        <f>SUMIF(I24:I26, "&lt;&gt;", G24:G26) / SUMIF(G24:G26, "&lt;&gt;")</f>
        <v>0.9</v>
      </c>
      <c r="L24" s="157">
        <f>IFERROR(J24/K24, "No grades yet")</f>
        <v>39.428888888888892</v>
      </c>
      <c r="M24" s="157" t="str">
        <f>IFERROR(IF(K24 = 1, "Completed module", IF(((70 - J24) / (1 - K24)) &gt; 100, "Unattainable", IF(((70 - J24) / (1 - K24)) &lt; 0, "Already attained", ((70 - J24) / (1 - K24))))), "-")</f>
        <v>Unattainable</v>
      </c>
      <c r="N24" s="157" t="str">
        <f>IFERROR(IF(K24 = 1, "Completed module", IF(((60 - J24) / (1 - K24)) &gt; 100, "Unattainable", IF(((60 - J24) / (1 - K24)) &lt; 0, "Already attained", ((60 - J24) / (1 - K24))))), "-")</f>
        <v>Unattainable</v>
      </c>
      <c r="O24" s="158" t="str">
        <f>IFERROR(IF(K24 = 1, "Completed module", IF(((50 - J24) / (1 - K24)) &gt; 100, "Unattainable", IF(((50 - J24) / (1 - K24)) &lt; 0, "Already attained", ((50 - J24) / (1 - K24))))), "-")</f>
        <v>Unattainable</v>
      </c>
      <c r="P24" s="166">
        <f>IFERROR(IF(K24 = 1, "Completed module", IF(((40 - J24) / (1 - K24)) &gt; 100, "Unattainable", IF(((40 - J24) / (1 - K24)) &lt; 0, "Already attained", ((40 - J24) / (1 - K24))))), "-")</f>
        <v>45.139999999999965</v>
      </c>
    </row>
    <row r="25" spans="1:16" ht="13.2">
      <c r="A25" s="173"/>
      <c r="B25" s="170"/>
      <c r="C25" s="145"/>
      <c r="D25" s="318"/>
      <c r="E25" s="146"/>
      <c r="F25" s="149" t="s">
        <v>20</v>
      </c>
      <c r="G25" s="150">
        <v>0.2</v>
      </c>
      <c r="H25" s="149" t="s">
        <v>62</v>
      </c>
      <c r="I25" s="151">
        <v>67.88</v>
      </c>
      <c r="J25" s="147"/>
      <c r="K25" s="147"/>
      <c r="L25" s="147"/>
      <c r="M25" s="147"/>
      <c r="N25" s="147"/>
      <c r="O25" s="148"/>
      <c r="P25" s="167"/>
    </row>
    <row r="26" spans="1:16" ht="13.8" thickBot="1">
      <c r="A26" s="174"/>
      <c r="B26" s="171"/>
      <c r="C26" s="159"/>
      <c r="D26" s="319"/>
      <c r="E26" s="160"/>
      <c r="F26" s="161" t="s">
        <v>20</v>
      </c>
      <c r="G26" s="162">
        <v>0.1</v>
      </c>
      <c r="H26" s="161" t="s">
        <v>63</v>
      </c>
      <c r="I26" s="163"/>
      <c r="J26" s="164"/>
      <c r="K26" s="164"/>
      <c r="L26" s="164"/>
      <c r="M26" s="164"/>
      <c r="N26" s="164"/>
      <c r="O26" s="165"/>
      <c r="P26" s="168"/>
    </row>
    <row r="27" spans="1:16" ht="15.75" customHeight="1" thickTop="1"/>
  </sheetData>
  <mergeCells count="97">
    <mergeCell ref="D17:D19"/>
    <mergeCell ref="D20:D21"/>
    <mergeCell ref="D22:D23"/>
    <mergeCell ref="D24:D26"/>
    <mergeCell ref="F1:H1"/>
    <mergeCell ref="D2:D4"/>
    <mergeCell ref="D5:D8"/>
    <mergeCell ref="D9:D11"/>
    <mergeCell ref="D12:D16"/>
    <mergeCell ref="O22:O23"/>
    <mergeCell ref="P22:P23"/>
    <mergeCell ref="O24:O26"/>
    <mergeCell ref="P24:P26"/>
    <mergeCell ref="O12:O16"/>
    <mergeCell ref="P12:P16"/>
    <mergeCell ref="O17:O19"/>
    <mergeCell ref="P17:P19"/>
    <mergeCell ref="O20:O21"/>
    <mergeCell ref="P20:P21"/>
    <mergeCell ref="O2:O4"/>
    <mergeCell ref="P2:P4"/>
    <mergeCell ref="O5:O8"/>
    <mergeCell ref="P5:P8"/>
    <mergeCell ref="O9:O11"/>
    <mergeCell ref="P9:P11"/>
    <mergeCell ref="M2:M4"/>
    <mergeCell ref="N2:N4"/>
    <mergeCell ref="B5:B8"/>
    <mergeCell ref="C5:C8"/>
    <mergeCell ref="J5:J8"/>
    <mergeCell ref="K5:K8"/>
    <mergeCell ref="L5:L8"/>
    <mergeCell ref="M5:M8"/>
    <mergeCell ref="N5:N8"/>
    <mergeCell ref="B2:B4"/>
    <mergeCell ref="C2:C4"/>
    <mergeCell ref="J2:J4"/>
    <mergeCell ref="K2:K4"/>
    <mergeCell ref="L2:L4"/>
    <mergeCell ref="E2:E4"/>
    <mergeCell ref="E5:E8"/>
    <mergeCell ref="M9:M11"/>
    <mergeCell ref="N9:N11"/>
    <mergeCell ref="B12:B16"/>
    <mergeCell ref="C12:C16"/>
    <mergeCell ref="J12:J16"/>
    <mergeCell ref="K12:K16"/>
    <mergeCell ref="L12:L16"/>
    <mergeCell ref="M12:M16"/>
    <mergeCell ref="N12:N16"/>
    <mergeCell ref="B9:B11"/>
    <mergeCell ref="C9:C11"/>
    <mergeCell ref="J9:J11"/>
    <mergeCell ref="K9:K11"/>
    <mergeCell ref="L9:L11"/>
    <mergeCell ref="E9:E11"/>
    <mergeCell ref="E12:E16"/>
    <mergeCell ref="M17:M19"/>
    <mergeCell ref="N17:N19"/>
    <mergeCell ref="B20:B21"/>
    <mergeCell ref="C20:C21"/>
    <mergeCell ref="J20:J21"/>
    <mergeCell ref="K20:K21"/>
    <mergeCell ref="L20:L21"/>
    <mergeCell ref="M20:M21"/>
    <mergeCell ref="N20:N21"/>
    <mergeCell ref="B17:B19"/>
    <mergeCell ref="C17:C19"/>
    <mergeCell ref="J17:J19"/>
    <mergeCell ref="K17:K19"/>
    <mergeCell ref="L17:L19"/>
    <mergeCell ref="E17:E19"/>
    <mergeCell ref="E20:E21"/>
    <mergeCell ref="M24:M26"/>
    <mergeCell ref="N24:N26"/>
    <mergeCell ref="B22:B23"/>
    <mergeCell ref="C22:C23"/>
    <mergeCell ref="J22:J23"/>
    <mergeCell ref="K22:K23"/>
    <mergeCell ref="L22:L23"/>
    <mergeCell ref="M22:M23"/>
    <mergeCell ref="N22:N23"/>
    <mergeCell ref="B24:B26"/>
    <mergeCell ref="C24:C26"/>
    <mergeCell ref="J24:J26"/>
    <mergeCell ref="K24:K26"/>
    <mergeCell ref="L24:L26"/>
    <mergeCell ref="E22:E23"/>
    <mergeCell ref="E24:E26"/>
    <mergeCell ref="A20:A21"/>
    <mergeCell ref="A22:A23"/>
    <mergeCell ref="A24:A26"/>
    <mergeCell ref="A2:A4"/>
    <mergeCell ref="A5:A8"/>
    <mergeCell ref="A9:A11"/>
    <mergeCell ref="A12:A16"/>
    <mergeCell ref="A17:A19"/>
  </mergeCells>
  <conditionalFormatting sqref="I2:I4">
    <cfRule type="expression" dxfId="111" priority="8" stopIfTrue="1">
      <formula>ISBLANK(I2)</formula>
    </cfRule>
    <cfRule type="cellIs" dxfId="110" priority="9" stopIfTrue="1" operator="equal">
      <formula>"No grades yet"</formula>
    </cfRule>
    <cfRule type="cellIs" dxfId="109" priority="10" stopIfTrue="1" operator="greaterThanOrEqual">
      <formula>70</formula>
    </cfRule>
    <cfRule type="cellIs" dxfId="108" priority="11" stopIfTrue="1" operator="between">
      <formula>60</formula>
      <formula>69.999</formula>
    </cfRule>
    <cfRule type="cellIs" dxfId="107" priority="12" stopIfTrue="1" operator="between">
      <formula>50</formula>
      <formula>59.999</formula>
    </cfRule>
    <cfRule type="cellIs" dxfId="106" priority="13" stopIfTrue="1" operator="between">
      <formula>40</formula>
      <formula>49.999</formula>
    </cfRule>
    <cfRule type="cellIs" dxfId="105" priority="14" stopIfTrue="1" operator="lessThan">
      <formula>40</formula>
    </cfRule>
  </conditionalFormatting>
  <conditionalFormatting sqref="L2:L4">
    <cfRule type="expression" dxfId="104" priority="15" stopIfTrue="1">
      <formula>ISBLANK(L2)</formula>
    </cfRule>
    <cfRule type="cellIs" dxfId="103" priority="16" stopIfTrue="1" operator="equal">
      <formula>"No grades yet"</formula>
    </cfRule>
    <cfRule type="cellIs" dxfId="102" priority="17" stopIfTrue="1" operator="greaterThanOrEqual">
      <formula>70</formula>
    </cfRule>
    <cfRule type="cellIs" dxfId="101" priority="18" stopIfTrue="1" operator="between">
      <formula>60</formula>
      <formula>69.999</formula>
    </cfRule>
    <cfRule type="cellIs" dxfId="100" priority="19" stopIfTrue="1" operator="between">
      <formula>50</formula>
      <formula>59.999</formula>
    </cfRule>
    <cfRule type="cellIs" dxfId="99" priority="20" stopIfTrue="1" operator="between">
      <formula>40</formula>
      <formula>49.999</formula>
    </cfRule>
    <cfRule type="cellIs" dxfId="98" priority="21" stopIfTrue="1" operator="lessThan">
      <formula>40</formula>
    </cfRule>
  </conditionalFormatting>
  <conditionalFormatting sqref="I5:I8">
    <cfRule type="expression" dxfId="97" priority="22" stopIfTrue="1">
      <formula>ISBLANK(I5)</formula>
    </cfRule>
    <cfRule type="cellIs" dxfId="96" priority="23" stopIfTrue="1" operator="equal">
      <formula>"No grades yet"</formula>
    </cfRule>
    <cfRule type="cellIs" dxfId="95" priority="24" stopIfTrue="1" operator="greaterThanOrEqual">
      <formula>70</formula>
    </cfRule>
    <cfRule type="cellIs" dxfId="94" priority="25" stopIfTrue="1" operator="between">
      <formula>60</formula>
      <formula>69.999</formula>
    </cfRule>
    <cfRule type="cellIs" dxfId="93" priority="26" stopIfTrue="1" operator="between">
      <formula>50</formula>
      <formula>59.999</formula>
    </cfRule>
    <cfRule type="cellIs" dxfId="92" priority="27" stopIfTrue="1" operator="between">
      <formula>40</formula>
      <formula>49.999</formula>
    </cfRule>
    <cfRule type="cellIs" dxfId="91" priority="28" stopIfTrue="1" operator="lessThan">
      <formula>40</formula>
    </cfRule>
  </conditionalFormatting>
  <conditionalFormatting sqref="L5:L8">
    <cfRule type="expression" dxfId="90" priority="29" stopIfTrue="1">
      <formula>ISBLANK(L5)</formula>
    </cfRule>
    <cfRule type="cellIs" dxfId="89" priority="30" stopIfTrue="1" operator="equal">
      <formula>"No grades yet"</formula>
    </cfRule>
    <cfRule type="cellIs" dxfId="88" priority="31" stopIfTrue="1" operator="greaterThanOrEqual">
      <formula>70</formula>
    </cfRule>
    <cfRule type="cellIs" dxfId="87" priority="32" stopIfTrue="1" operator="between">
      <formula>60</formula>
      <formula>69.999</formula>
    </cfRule>
    <cfRule type="cellIs" dxfId="86" priority="33" stopIfTrue="1" operator="between">
      <formula>50</formula>
      <formula>59.999</formula>
    </cfRule>
    <cfRule type="cellIs" dxfId="85" priority="34" stopIfTrue="1" operator="between">
      <formula>40</formula>
      <formula>49.999</formula>
    </cfRule>
    <cfRule type="cellIs" dxfId="84" priority="35" stopIfTrue="1" operator="lessThan">
      <formula>40</formula>
    </cfRule>
  </conditionalFormatting>
  <conditionalFormatting sqref="I9:I11">
    <cfRule type="expression" dxfId="83" priority="36" stopIfTrue="1">
      <formula>ISBLANK(I9)</formula>
    </cfRule>
    <cfRule type="cellIs" dxfId="82" priority="37" stopIfTrue="1" operator="equal">
      <formula>"No grades yet"</formula>
    </cfRule>
    <cfRule type="cellIs" dxfId="81" priority="38" stopIfTrue="1" operator="greaterThanOrEqual">
      <formula>70</formula>
    </cfRule>
    <cfRule type="cellIs" dxfId="80" priority="39" stopIfTrue="1" operator="between">
      <formula>60</formula>
      <formula>69.999</formula>
    </cfRule>
    <cfRule type="cellIs" dxfId="79" priority="40" stopIfTrue="1" operator="between">
      <formula>50</formula>
      <formula>59.999</formula>
    </cfRule>
    <cfRule type="cellIs" dxfId="78" priority="41" stopIfTrue="1" operator="between">
      <formula>40</formula>
      <formula>49.999</formula>
    </cfRule>
    <cfRule type="cellIs" dxfId="77" priority="42" stopIfTrue="1" operator="lessThan">
      <formula>40</formula>
    </cfRule>
  </conditionalFormatting>
  <conditionalFormatting sqref="L9:L11">
    <cfRule type="expression" dxfId="76" priority="43" stopIfTrue="1">
      <formula>ISBLANK(L9)</formula>
    </cfRule>
    <cfRule type="cellIs" dxfId="75" priority="44" stopIfTrue="1" operator="equal">
      <formula>"No grades yet"</formula>
    </cfRule>
    <cfRule type="cellIs" dxfId="74" priority="45" stopIfTrue="1" operator="greaterThanOrEqual">
      <formula>70</formula>
    </cfRule>
    <cfRule type="cellIs" dxfId="73" priority="46" stopIfTrue="1" operator="between">
      <formula>60</formula>
      <formula>69.999</formula>
    </cfRule>
    <cfRule type="cellIs" dxfId="72" priority="47" stopIfTrue="1" operator="between">
      <formula>50</formula>
      <formula>59.999</formula>
    </cfRule>
    <cfRule type="cellIs" dxfId="71" priority="48" stopIfTrue="1" operator="between">
      <formula>40</formula>
      <formula>49.999</formula>
    </cfRule>
    <cfRule type="cellIs" dxfId="70" priority="49" stopIfTrue="1" operator="lessThan">
      <formula>40</formula>
    </cfRule>
  </conditionalFormatting>
  <conditionalFormatting sqref="I12:I16">
    <cfRule type="expression" dxfId="69" priority="50" stopIfTrue="1">
      <formula>ISBLANK(I12)</formula>
    </cfRule>
    <cfRule type="cellIs" dxfId="68" priority="51" stopIfTrue="1" operator="equal">
      <formula>"No grades yet"</formula>
    </cfRule>
    <cfRule type="cellIs" dxfId="67" priority="52" stopIfTrue="1" operator="greaterThanOrEqual">
      <formula>70</formula>
    </cfRule>
    <cfRule type="cellIs" dxfId="66" priority="53" stopIfTrue="1" operator="between">
      <formula>60</formula>
      <formula>69.999</formula>
    </cfRule>
    <cfRule type="cellIs" dxfId="65" priority="54" stopIfTrue="1" operator="between">
      <formula>50</formula>
      <formula>59.999</formula>
    </cfRule>
    <cfRule type="cellIs" dxfId="64" priority="55" stopIfTrue="1" operator="between">
      <formula>40</formula>
      <formula>49.999</formula>
    </cfRule>
    <cfRule type="cellIs" dxfId="63" priority="56" stopIfTrue="1" operator="lessThan">
      <formula>40</formula>
    </cfRule>
  </conditionalFormatting>
  <conditionalFormatting sqref="L12:L16">
    <cfRule type="expression" dxfId="62" priority="57" stopIfTrue="1">
      <formula>ISBLANK(L12)</formula>
    </cfRule>
    <cfRule type="cellIs" dxfId="61" priority="58" stopIfTrue="1" operator="equal">
      <formula>"No grades yet"</formula>
    </cfRule>
    <cfRule type="cellIs" dxfId="60" priority="59" stopIfTrue="1" operator="greaterThanOrEqual">
      <formula>70</formula>
    </cfRule>
    <cfRule type="cellIs" dxfId="59" priority="60" stopIfTrue="1" operator="between">
      <formula>60</formula>
      <formula>69.999</formula>
    </cfRule>
    <cfRule type="cellIs" dxfId="58" priority="61" stopIfTrue="1" operator="between">
      <formula>50</formula>
      <formula>59.999</formula>
    </cfRule>
    <cfRule type="cellIs" dxfId="57" priority="62" stopIfTrue="1" operator="between">
      <formula>40</formula>
      <formula>49.999</formula>
    </cfRule>
    <cfRule type="cellIs" dxfId="56" priority="63" stopIfTrue="1" operator="lessThan">
      <formula>40</formula>
    </cfRule>
  </conditionalFormatting>
  <conditionalFormatting sqref="I17:I19">
    <cfRule type="expression" dxfId="55" priority="64" stopIfTrue="1">
      <formula>ISBLANK(I17)</formula>
    </cfRule>
    <cfRule type="cellIs" dxfId="54" priority="65" stopIfTrue="1" operator="equal">
      <formula>"No grades yet"</formula>
    </cfRule>
    <cfRule type="cellIs" dxfId="53" priority="66" stopIfTrue="1" operator="greaterThanOrEqual">
      <formula>70</formula>
    </cfRule>
    <cfRule type="cellIs" dxfId="52" priority="67" stopIfTrue="1" operator="between">
      <formula>60</formula>
      <formula>69.999</formula>
    </cfRule>
    <cfRule type="cellIs" dxfId="51" priority="68" stopIfTrue="1" operator="between">
      <formula>50</formula>
      <formula>59.999</formula>
    </cfRule>
    <cfRule type="cellIs" dxfId="50" priority="69" stopIfTrue="1" operator="between">
      <formula>40</formula>
      <formula>49.999</formula>
    </cfRule>
    <cfRule type="cellIs" dxfId="49" priority="70" stopIfTrue="1" operator="lessThan">
      <formula>40</formula>
    </cfRule>
  </conditionalFormatting>
  <conditionalFormatting sqref="L17:L19">
    <cfRule type="expression" dxfId="48" priority="71" stopIfTrue="1">
      <formula>ISBLANK(L17)</formula>
    </cfRule>
    <cfRule type="cellIs" dxfId="47" priority="72" stopIfTrue="1" operator="equal">
      <formula>"No grades yet"</formula>
    </cfRule>
    <cfRule type="cellIs" dxfId="46" priority="73" stopIfTrue="1" operator="greaterThanOrEqual">
      <formula>70</formula>
    </cfRule>
    <cfRule type="cellIs" dxfId="45" priority="74" stopIfTrue="1" operator="between">
      <formula>60</formula>
      <formula>69.999</formula>
    </cfRule>
    <cfRule type="cellIs" dxfId="44" priority="75" stopIfTrue="1" operator="between">
      <formula>50</formula>
      <formula>59.999</formula>
    </cfRule>
    <cfRule type="cellIs" dxfId="43" priority="76" stopIfTrue="1" operator="between">
      <formula>40</formula>
      <formula>49.999</formula>
    </cfRule>
    <cfRule type="cellIs" dxfId="42" priority="77" stopIfTrue="1" operator="lessThan">
      <formula>40</formula>
    </cfRule>
  </conditionalFormatting>
  <conditionalFormatting sqref="I20:I21">
    <cfRule type="expression" dxfId="41" priority="78" stopIfTrue="1">
      <formula>ISBLANK(I20)</formula>
    </cfRule>
    <cfRule type="cellIs" dxfId="40" priority="79" stopIfTrue="1" operator="equal">
      <formula>"No grades yet"</formula>
    </cfRule>
    <cfRule type="cellIs" dxfId="39" priority="80" stopIfTrue="1" operator="greaterThanOrEqual">
      <formula>70</formula>
    </cfRule>
    <cfRule type="cellIs" dxfId="38" priority="81" stopIfTrue="1" operator="between">
      <formula>60</formula>
      <formula>69.999</formula>
    </cfRule>
    <cfRule type="cellIs" dxfId="37" priority="82" stopIfTrue="1" operator="between">
      <formula>50</formula>
      <formula>59.999</formula>
    </cfRule>
    <cfRule type="cellIs" dxfId="36" priority="83" stopIfTrue="1" operator="between">
      <formula>40</formula>
      <formula>49.999</formula>
    </cfRule>
    <cfRule type="cellIs" dxfId="35" priority="84" stopIfTrue="1" operator="lessThan">
      <formula>40</formula>
    </cfRule>
  </conditionalFormatting>
  <conditionalFormatting sqref="L20:L21">
    <cfRule type="expression" dxfId="34" priority="85" stopIfTrue="1">
      <formula>ISBLANK(L20)</formula>
    </cfRule>
    <cfRule type="cellIs" dxfId="33" priority="86" stopIfTrue="1" operator="equal">
      <formula>"No grades yet"</formula>
    </cfRule>
    <cfRule type="cellIs" dxfId="32" priority="87" stopIfTrue="1" operator="greaterThanOrEqual">
      <formula>70</formula>
    </cfRule>
    <cfRule type="cellIs" dxfId="31" priority="88" stopIfTrue="1" operator="between">
      <formula>60</formula>
      <formula>69.999</formula>
    </cfRule>
    <cfRule type="cellIs" dxfId="30" priority="89" stopIfTrue="1" operator="between">
      <formula>50</formula>
      <formula>59.999</formula>
    </cfRule>
    <cfRule type="cellIs" dxfId="29" priority="90" stopIfTrue="1" operator="between">
      <formula>40</formula>
      <formula>49.999</formula>
    </cfRule>
    <cfRule type="cellIs" dxfId="28" priority="91" stopIfTrue="1" operator="lessThan">
      <formula>40</formula>
    </cfRule>
  </conditionalFormatting>
  <conditionalFormatting sqref="I22:I23">
    <cfRule type="expression" dxfId="27" priority="92" stopIfTrue="1">
      <formula>ISBLANK(I22)</formula>
    </cfRule>
    <cfRule type="cellIs" dxfId="26" priority="93" stopIfTrue="1" operator="equal">
      <formula>"No grades yet"</formula>
    </cfRule>
    <cfRule type="cellIs" dxfId="25" priority="94" stopIfTrue="1" operator="greaterThanOrEqual">
      <formula>70</formula>
    </cfRule>
    <cfRule type="cellIs" dxfId="24" priority="95" stopIfTrue="1" operator="between">
      <formula>60</formula>
      <formula>69.999</formula>
    </cfRule>
    <cfRule type="cellIs" dxfId="23" priority="96" stopIfTrue="1" operator="between">
      <formula>50</formula>
      <formula>59.999</formula>
    </cfRule>
    <cfRule type="cellIs" dxfId="22" priority="97" stopIfTrue="1" operator="between">
      <formula>40</formula>
      <formula>49.999</formula>
    </cfRule>
    <cfRule type="cellIs" dxfId="21" priority="98" stopIfTrue="1" operator="lessThan">
      <formula>40</formula>
    </cfRule>
  </conditionalFormatting>
  <conditionalFormatting sqref="L22:L23">
    <cfRule type="expression" dxfId="20" priority="99" stopIfTrue="1">
      <formula>ISBLANK(L22)</formula>
    </cfRule>
    <cfRule type="cellIs" dxfId="19" priority="100" stopIfTrue="1" operator="equal">
      <formula>"No grades yet"</formula>
    </cfRule>
    <cfRule type="cellIs" dxfId="18" priority="101" stopIfTrue="1" operator="greaterThanOrEqual">
      <formula>70</formula>
    </cfRule>
    <cfRule type="cellIs" dxfId="17" priority="102" stopIfTrue="1" operator="between">
      <formula>60</formula>
      <formula>69.999</formula>
    </cfRule>
    <cfRule type="cellIs" dxfId="16" priority="103" stopIfTrue="1" operator="between">
      <formula>50</formula>
      <formula>59.999</formula>
    </cfRule>
    <cfRule type="cellIs" dxfId="15" priority="104" stopIfTrue="1" operator="between">
      <formula>40</formula>
      <formula>49.999</formula>
    </cfRule>
    <cfRule type="cellIs" dxfId="14" priority="105" stopIfTrue="1" operator="lessThan">
      <formula>40</formula>
    </cfRule>
  </conditionalFormatting>
  <conditionalFormatting sqref="I24:I26">
    <cfRule type="expression" dxfId="13" priority="106" stopIfTrue="1">
      <formula>ISBLANK(I24)</formula>
    </cfRule>
    <cfRule type="cellIs" dxfId="12" priority="107" stopIfTrue="1" operator="equal">
      <formula>"No grades yet"</formula>
    </cfRule>
    <cfRule type="cellIs" dxfId="11" priority="108" stopIfTrue="1" operator="greaterThanOrEqual">
      <formula>70</formula>
    </cfRule>
    <cfRule type="cellIs" dxfId="10" priority="109" stopIfTrue="1" operator="between">
      <formula>60</formula>
      <formula>69.999</formula>
    </cfRule>
    <cfRule type="cellIs" dxfId="9" priority="110" stopIfTrue="1" operator="between">
      <formula>50</formula>
      <formula>59.999</formula>
    </cfRule>
    <cfRule type="cellIs" dxfId="8" priority="111" stopIfTrue="1" operator="between">
      <formula>40</formula>
      <formula>49.999</formula>
    </cfRule>
    <cfRule type="cellIs" dxfId="7" priority="112" stopIfTrue="1" operator="lessThan">
      <formula>40</formula>
    </cfRule>
  </conditionalFormatting>
  <conditionalFormatting sqref="L24:L26">
    <cfRule type="expression" dxfId="6" priority="113" stopIfTrue="1">
      <formula>ISBLANK(L24)</formula>
    </cfRule>
    <cfRule type="cellIs" dxfId="5" priority="114" stopIfTrue="1" operator="equal">
      <formula>"No grades yet"</formula>
    </cfRule>
    <cfRule type="cellIs" dxfId="4" priority="115" stopIfTrue="1" operator="greaterThanOrEqual">
      <formula>70</formula>
    </cfRule>
    <cfRule type="cellIs" dxfId="3" priority="116" stopIfTrue="1" operator="between">
      <formula>60</formula>
      <formula>69.999</formula>
    </cfRule>
    <cfRule type="cellIs" dxfId="2" priority="117" stopIfTrue="1" operator="between">
      <formula>50</formula>
      <formula>59.999</formula>
    </cfRule>
    <cfRule type="cellIs" dxfId="1" priority="118" stopIfTrue="1" operator="between">
      <formula>40</formula>
      <formula>49.999</formula>
    </cfRule>
    <cfRule type="cellIs" dxfId="0" priority="119" stopIfTrue="1" operator="lessThan">
      <formula>40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6A37A-07BA-4C3F-AA06-0735EF44BABA}">
  <sheetPr codeName="Sheet5"/>
  <dimension ref="A1:P98"/>
  <sheetViews>
    <sheetView topLeftCell="A90" zoomScale="87" zoomScaleNormal="58" workbookViewId="0">
      <selection activeCell="L94" sqref="L94"/>
    </sheetView>
  </sheetViews>
  <sheetFormatPr defaultColWidth="9.33203125" defaultRowHeight="13.2"/>
  <cols>
    <col min="1" max="1" width="13.33203125" customWidth="1"/>
    <col min="2" max="2" width="23.5546875" customWidth="1"/>
    <col min="5" max="5" width="12" customWidth="1"/>
    <col min="6" max="6" width="26.88671875" customWidth="1"/>
    <col min="8" max="8" width="31.44140625" customWidth="1"/>
    <col min="10" max="10" width="17.33203125" hidden="1" customWidth="1"/>
    <col min="11" max="11" width="17.44140625" hidden="1" customWidth="1"/>
    <col min="12" max="12" width="16.5546875" hidden="1" customWidth="1"/>
    <col min="13" max="13" width="24.109375" hidden="1" customWidth="1"/>
    <col min="14" max="14" width="24" hidden="1" customWidth="1"/>
    <col min="15" max="15" width="23.109375" hidden="1" customWidth="1"/>
    <col min="16" max="16" width="23.6640625" hidden="1" customWidth="1"/>
    <col min="18" max="18" width="27.88671875" customWidth="1"/>
    <col min="19" max="19" width="33.109375" customWidth="1"/>
    <col min="20" max="20" width="46.6640625" customWidth="1"/>
    <col min="21" max="21" width="25" customWidth="1"/>
  </cols>
  <sheetData>
    <row r="1" spans="1:16" ht="13.8" thickBot="1">
      <c r="A1" s="1" t="s">
        <v>64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6" ht="13.8" thickBot="1">
      <c r="A2" s="37" t="s">
        <v>65</v>
      </c>
      <c r="B2" s="38" t="s">
        <v>1</v>
      </c>
      <c r="C2" s="38" t="s">
        <v>0</v>
      </c>
      <c r="D2" s="38" t="s">
        <v>91</v>
      </c>
      <c r="E2" s="38" t="s">
        <v>92</v>
      </c>
      <c r="F2" s="130" t="s">
        <v>93</v>
      </c>
      <c r="G2" s="130"/>
      <c r="H2" s="130"/>
      <c r="I2" s="38" t="s">
        <v>2</v>
      </c>
      <c r="J2" s="38" t="s">
        <v>3</v>
      </c>
      <c r="K2" s="38" t="s">
        <v>4</v>
      </c>
      <c r="L2" s="38" t="s">
        <v>5</v>
      </c>
      <c r="M2" s="38" t="s">
        <v>193</v>
      </c>
      <c r="N2" s="39" t="s">
        <v>7</v>
      </c>
      <c r="O2" s="14" t="s">
        <v>194</v>
      </c>
      <c r="P2" s="14" t="s">
        <v>195</v>
      </c>
    </row>
    <row r="3" spans="1:16" ht="13.8" thickTop="1">
      <c r="A3" s="204" t="s">
        <v>278</v>
      </c>
      <c r="B3" s="201" t="s">
        <v>279</v>
      </c>
      <c r="C3" s="194">
        <v>20</v>
      </c>
      <c r="D3" s="296">
        <v>0.36299999999999999</v>
      </c>
      <c r="E3" s="195">
        <v>0.4</v>
      </c>
      <c r="F3" s="196" t="s">
        <v>199</v>
      </c>
      <c r="G3" s="214">
        <v>0.15</v>
      </c>
      <c r="H3" s="196" t="s">
        <v>280</v>
      </c>
      <c r="I3" s="186"/>
      <c r="J3" s="158">
        <f>IF(G3=1, I3, SUMPRODUCT(I3:I7, G3:G7))</f>
        <v>27</v>
      </c>
      <c r="K3" s="158">
        <f>SUMIF(I3:I7, "&lt;&gt;", G3:G7) / SUMIF(G3:G7, "&lt;&gt;")</f>
        <v>0.70000000000000007</v>
      </c>
      <c r="L3" s="158">
        <f>IFERROR(J3/K3, "No grades yet")</f>
        <v>38.571428571428569</v>
      </c>
      <c r="M3" s="158" t="str">
        <f>IFERROR(IF(K3 = 1, "Completed module", IF(((70 - J3) / (1 - K3)) &gt; 100, "Unattainable", IF(((70 - J3) / (1 - K3)) &lt; 0, "Already attained", ((70 - J3) / (1 - K3))))), "-")</f>
        <v>Unattainable</v>
      </c>
      <c r="N3" s="158" t="str">
        <f>IFERROR(IF(K3 = 1, "Completed module", IF(((60 - J3) / (1 - K3)) &gt; 100, "Unattainable", IF(((60 - J3) / (1 - K3)) &lt; 0, "Already attained", ((60 - J3) / (1 - K3))))), "-")</f>
        <v>Unattainable</v>
      </c>
      <c r="O3" s="158">
        <f>IFERROR(IF(K3 = 1, "Completed module", IF(((50 - J3) / (1 - K3)) &gt; 100, "Unattainable", IF(((50 - J3) / (1 - K3)) &lt; 0, "Already attained", ((50 - J3) / (1 - K3))))), "-")</f>
        <v>76.666666666666686</v>
      </c>
      <c r="P3" s="166">
        <f>IFERROR(IF(K3 = 1, "Completed module", IF(((40 - J3) / (1 - K3)) &gt; 100, "Unattainable", IF(((40 - J3) / (1 - K3)) &lt; 0, "Already attained", ((40 - J3) / (1 - K3))))), "-")</f>
        <v>43.333333333333343</v>
      </c>
    </row>
    <row r="4" spans="1:16">
      <c r="A4" s="205"/>
      <c r="B4" s="202"/>
      <c r="C4" s="191"/>
      <c r="D4" s="295"/>
      <c r="E4" s="192"/>
      <c r="F4" s="193" t="s">
        <v>199</v>
      </c>
      <c r="G4" s="213">
        <v>0.1</v>
      </c>
      <c r="H4" s="193" t="s">
        <v>281</v>
      </c>
      <c r="I4" s="185">
        <v>34</v>
      </c>
      <c r="J4" s="148"/>
      <c r="K4" s="148"/>
      <c r="L4" s="148"/>
      <c r="M4" s="148"/>
      <c r="N4" s="148"/>
      <c r="O4" s="148"/>
      <c r="P4" s="167"/>
    </row>
    <row r="5" spans="1:16">
      <c r="A5" s="205"/>
      <c r="B5" s="202"/>
      <c r="C5" s="191"/>
      <c r="D5" s="295"/>
      <c r="E5" s="192"/>
      <c r="F5" s="193" t="s">
        <v>201</v>
      </c>
      <c r="G5" s="213">
        <v>0.2</v>
      </c>
      <c r="H5" s="193" t="s">
        <v>282</v>
      </c>
      <c r="I5" s="185">
        <v>70</v>
      </c>
      <c r="J5" s="148"/>
      <c r="K5" s="148"/>
      <c r="L5" s="148"/>
      <c r="M5" s="148"/>
      <c r="N5" s="148"/>
      <c r="O5" s="148"/>
      <c r="P5" s="167"/>
    </row>
    <row r="6" spans="1:16">
      <c r="A6" s="205"/>
      <c r="B6" s="202"/>
      <c r="C6" s="191"/>
      <c r="D6" s="295"/>
      <c r="E6" s="192"/>
      <c r="F6" s="193" t="s">
        <v>199</v>
      </c>
      <c r="G6" s="213">
        <v>0.4</v>
      </c>
      <c r="H6" s="193" t="s">
        <v>283</v>
      </c>
      <c r="I6" s="185">
        <v>24</v>
      </c>
      <c r="J6" s="148"/>
      <c r="K6" s="148"/>
      <c r="L6" s="148"/>
      <c r="M6" s="148"/>
      <c r="N6" s="148"/>
      <c r="O6" s="148"/>
      <c r="P6" s="167"/>
    </row>
    <row r="7" spans="1:16" ht="13.8" customHeight="1" thickBot="1">
      <c r="A7" s="206"/>
      <c r="B7" s="203"/>
      <c r="C7" s="198"/>
      <c r="D7" s="297"/>
      <c r="E7" s="199"/>
      <c r="F7" s="200" t="s">
        <v>251</v>
      </c>
      <c r="G7" s="215">
        <v>0.15</v>
      </c>
      <c r="H7" s="200" t="s">
        <v>284</v>
      </c>
      <c r="I7" s="187"/>
      <c r="J7" s="165"/>
      <c r="K7" s="165"/>
      <c r="L7" s="165"/>
      <c r="M7" s="165"/>
      <c r="N7" s="165"/>
      <c r="O7" s="165"/>
      <c r="P7" s="168"/>
    </row>
    <row r="8" spans="1:16" ht="23.4" customHeight="1" thickTop="1">
      <c r="A8" s="141" t="s">
        <v>249</v>
      </c>
      <c r="B8" s="290" t="s">
        <v>74</v>
      </c>
      <c r="C8" s="143">
        <v>5</v>
      </c>
      <c r="D8" s="291">
        <v>9.0999999999999998E-2</v>
      </c>
      <c r="E8" s="144">
        <v>0.4</v>
      </c>
      <c r="F8" s="50" t="s">
        <v>150</v>
      </c>
      <c r="G8" s="51">
        <v>0.8</v>
      </c>
      <c r="H8" s="50" t="s">
        <v>209</v>
      </c>
      <c r="I8" s="292"/>
      <c r="J8" s="293">
        <f>IF(G8=1, I8, SUMPRODUCT(I8:I9, G8:G9))</f>
        <v>0</v>
      </c>
      <c r="K8" s="293">
        <f>SUMIF(I8:I9, "&lt;&gt;", G8:G9) / SUMIF(G8:G9, "&lt;&gt;")</f>
        <v>0</v>
      </c>
      <c r="L8" s="293" t="str">
        <f>IFERROR(J8/K8, "No grades yet")</f>
        <v>No grades yet</v>
      </c>
      <c r="M8" s="293">
        <f>IFERROR(IF(K8 = 1, "Completed module", IF(((70 - J8) / (1 - K8)) &gt; 100, "Unattainable", IF(((70 - J8) / (1 - K8)) &lt; 0, "Already attained", ((70 - J8) / (1 - K8))))), "-")</f>
        <v>70</v>
      </c>
      <c r="N8" s="293">
        <f>IFERROR(IF(K8 = 1, "Completed module", IF(((60 - J8) / (1 - K8)) &gt; 100, "Unattainable", IF(((60 - J8) / (1 - K8)) &lt; 0, "Already attained", ((60 - J8) / (1 - K8))))), "-")</f>
        <v>60</v>
      </c>
      <c r="O8" s="293">
        <f>IFERROR(IF(K8 = 1, "Completed module", IF(((50 - J8) / (1 - K8)) &gt; 100, "Unattainable", IF(((50 - J8) / (1 - K8)) &lt; 0, "Already attained", ((50 - J8) / (1 - K8))))), "-")</f>
        <v>50</v>
      </c>
      <c r="P8" s="294">
        <f>IFERROR(IF(K8 = 1, "Completed module", IF(((40 - J8) / (1 - K8)) &gt; 100, "Unattainable", IF(((40 - J8) / (1 - K8)) &lt; 0, "Already attained", ((40 - J8) / (1 - K8))))), "-")</f>
        <v>40</v>
      </c>
    </row>
    <row r="9" spans="1:16" ht="13.8" thickBot="1">
      <c r="A9" s="123"/>
      <c r="B9" s="140"/>
      <c r="C9" s="129"/>
      <c r="D9" s="288"/>
      <c r="E9" s="120"/>
      <c r="F9" s="30" t="s">
        <v>251</v>
      </c>
      <c r="G9" s="31">
        <v>0.2</v>
      </c>
      <c r="H9" s="30" t="s">
        <v>285</v>
      </c>
      <c r="I9" s="43"/>
      <c r="J9" s="136"/>
      <c r="K9" s="136"/>
      <c r="L9" s="136"/>
      <c r="M9" s="136"/>
      <c r="N9" s="136"/>
      <c r="O9" s="136"/>
      <c r="P9" s="139"/>
    </row>
    <row r="10" spans="1:16" ht="13.8" thickTop="1">
      <c r="A10" s="121" t="s">
        <v>286</v>
      </c>
      <c r="B10" s="124" t="s">
        <v>287</v>
      </c>
      <c r="C10" s="127">
        <v>5</v>
      </c>
      <c r="D10" s="286">
        <v>9.0999999999999998E-2</v>
      </c>
      <c r="E10" s="118">
        <v>0.4</v>
      </c>
      <c r="F10" s="25" t="s">
        <v>150</v>
      </c>
      <c r="G10" s="26">
        <v>0.8</v>
      </c>
      <c r="H10" s="25" t="s">
        <v>209</v>
      </c>
      <c r="I10" s="40"/>
      <c r="J10" s="134">
        <f>IF(G10=1, I10, SUMPRODUCT(I10:I12, G10:G12))</f>
        <v>0</v>
      </c>
      <c r="K10" s="134">
        <f>SUMIF(I10:I12, "&lt;&gt;", G10:G12) / SUMIF(G10:G12, "&lt;&gt;")</f>
        <v>0</v>
      </c>
      <c r="L10" s="134" t="str">
        <f>IFERROR(J10/K10, "No grades yet")</f>
        <v>No grades yet</v>
      </c>
      <c r="M10" s="134">
        <f>IFERROR(IF(K10 = 1, "Completed module", IF(((70 - J10) / (1 - K10)) &gt; 100, "Unattainable", IF(((70 - J10) / (1 - K10)) &lt; 0, "Already attained", ((70 - J10) / (1 - K10))))), "-")</f>
        <v>70</v>
      </c>
      <c r="N10" s="134">
        <f>IFERROR(IF(K10 = 1, "Completed module", IF(((60 - J10) / (1 - K10)) &gt; 100, "Unattainable", IF(((60 - J10) / (1 - K10)) &lt; 0, "Already attained", ((60 - J10) / (1 - K10))))), "-")</f>
        <v>60</v>
      </c>
      <c r="O10" s="134">
        <f>IFERROR(IF(K10 = 1, "Completed module", IF(((50 - J10) / (1 - K10)) &gt; 100, "Unattainable", IF(((50 - J10) / (1 - K10)) &lt; 0, "Already attained", ((50 - J10) / (1 - K10))))), "-")</f>
        <v>50</v>
      </c>
      <c r="P10" s="137">
        <f>IFERROR(IF(K10 = 1, "Completed module", IF(((40 - J10) / (1 - K10)) &gt; 100, "Unattainable", IF(((40 - J10) / (1 - K10)) &lt; 0, "Already attained", ((40 - J10) / (1 - K10))))), "-")</f>
        <v>40</v>
      </c>
    </row>
    <row r="11" spans="1:16" ht="26.4">
      <c r="A11" s="122"/>
      <c r="B11" s="125"/>
      <c r="C11" s="128"/>
      <c r="D11" s="287"/>
      <c r="E11" s="119"/>
      <c r="F11" s="23" t="s">
        <v>199</v>
      </c>
      <c r="G11" s="24">
        <v>0.1</v>
      </c>
      <c r="H11" s="23" t="s">
        <v>288</v>
      </c>
      <c r="I11" s="36"/>
      <c r="J11" s="135"/>
      <c r="K11" s="135"/>
      <c r="L11" s="135"/>
      <c r="M11" s="135"/>
      <c r="N11" s="135"/>
      <c r="O11" s="135"/>
      <c r="P11" s="138"/>
    </row>
    <row r="12" spans="1:16" ht="27" thickBot="1">
      <c r="A12" s="123"/>
      <c r="B12" s="126"/>
      <c r="C12" s="129"/>
      <c r="D12" s="288"/>
      <c r="E12" s="120"/>
      <c r="F12" s="30" t="s">
        <v>199</v>
      </c>
      <c r="G12" s="31">
        <v>0.1</v>
      </c>
      <c r="H12" s="30" t="s">
        <v>289</v>
      </c>
      <c r="I12" s="43"/>
      <c r="J12" s="136"/>
      <c r="K12" s="136"/>
      <c r="L12" s="136"/>
      <c r="M12" s="136"/>
      <c r="N12" s="136"/>
      <c r="O12" s="136"/>
      <c r="P12" s="139"/>
    </row>
    <row r="13" spans="1:16" ht="14.4" customHeight="1" thickTop="1">
      <c r="A13" s="204" t="s">
        <v>294</v>
      </c>
      <c r="B13" s="201" t="s">
        <v>295</v>
      </c>
      <c r="C13" s="194">
        <v>5</v>
      </c>
      <c r="D13" s="296">
        <v>9.0999999999999998E-2</v>
      </c>
      <c r="E13" s="195">
        <v>0.4</v>
      </c>
      <c r="F13" s="196" t="s">
        <v>150</v>
      </c>
      <c r="G13" s="214">
        <v>0.75</v>
      </c>
      <c r="H13" s="196" t="s">
        <v>209</v>
      </c>
      <c r="I13" s="186"/>
      <c r="J13" s="158">
        <f>IF(G13=1, I13, SUMPRODUCT(I13:I16, G13:G16))</f>
        <v>0</v>
      </c>
      <c r="K13" s="158">
        <f>SUMIF(I13:I16, "&lt;&gt;", G13:G16) / SUMIF(G13:G16, "&lt;&gt;")</f>
        <v>0</v>
      </c>
      <c r="L13" s="158" t="str">
        <f>IFERROR(J13/K13, "No grades yet")</f>
        <v>No grades yet</v>
      </c>
      <c r="M13" s="158">
        <f>IFERROR(IF(K13 = 1, "Completed module", IF(((70 - J13) / (1 - K13)) &gt; 100, "Unattainable", IF(((70 - J13) / (1 - K13)) &lt; 0, "Already attained", ((70 - J13) / (1 - K13))))), "-")</f>
        <v>70</v>
      </c>
      <c r="N13" s="158">
        <f>IFERROR(IF(K13 = 1, "Completed module", IF(((60 - J13) / (1 - K13)) &gt; 100, "Unattainable", IF(((60 - J13) / (1 - K13)) &lt; 0, "Already attained", ((60 - J13) / (1 - K13))))), "-")</f>
        <v>60</v>
      </c>
      <c r="O13" s="158">
        <f>IFERROR(IF(K13 = 1, "Completed module", IF(((50 - J13) / (1 - K13)) &gt; 100, "Unattainable", IF(((50 - J13) / (1 - K13)) &lt; 0, "Already attained", ((50 - J13) / (1 - K13))))), "-")</f>
        <v>50</v>
      </c>
      <c r="P13" s="166">
        <f>IFERROR(IF(K13 = 1, "Completed module", IF(((40 - J13) / (1 - K13)) &gt; 100, "Unattainable", IF(((40 - J13) / (1 - K13)) &lt; 0, "Already attained", ((40 - J13) / (1 - K13))))), "-")</f>
        <v>40</v>
      </c>
    </row>
    <row r="14" spans="1:16">
      <c r="A14" s="205"/>
      <c r="B14" s="202"/>
      <c r="C14" s="191"/>
      <c r="D14" s="295"/>
      <c r="E14" s="192"/>
      <c r="F14" s="193" t="s">
        <v>191</v>
      </c>
      <c r="G14" s="213">
        <v>0.05</v>
      </c>
      <c r="H14" s="193" t="s">
        <v>296</v>
      </c>
      <c r="I14" s="185"/>
      <c r="J14" s="148"/>
      <c r="K14" s="148"/>
      <c r="L14" s="148"/>
      <c r="M14" s="148"/>
      <c r="N14" s="148"/>
      <c r="O14" s="148"/>
      <c r="P14" s="167"/>
    </row>
    <row r="15" spans="1:16">
      <c r="A15" s="205"/>
      <c r="B15" s="202"/>
      <c r="C15" s="191"/>
      <c r="D15" s="295"/>
      <c r="E15" s="192"/>
      <c r="F15" s="193" t="s">
        <v>191</v>
      </c>
      <c r="G15" s="213">
        <v>0.08</v>
      </c>
      <c r="H15" s="193" t="s">
        <v>297</v>
      </c>
      <c r="I15" s="185"/>
      <c r="J15" s="148"/>
      <c r="K15" s="148"/>
      <c r="L15" s="148"/>
      <c r="M15" s="148"/>
      <c r="N15" s="148"/>
      <c r="O15" s="148"/>
      <c r="P15" s="167"/>
    </row>
    <row r="16" spans="1:16" ht="27" thickBot="1">
      <c r="A16" s="207"/>
      <c r="B16" s="208"/>
      <c r="C16" s="209"/>
      <c r="D16" s="298"/>
      <c r="E16" s="210"/>
      <c r="F16" s="211" t="s">
        <v>199</v>
      </c>
      <c r="G16" s="216">
        <v>0.12</v>
      </c>
      <c r="H16" s="211" t="s">
        <v>298</v>
      </c>
      <c r="I16" s="212"/>
      <c r="J16" s="183"/>
      <c r="K16" s="183"/>
      <c r="L16" s="183"/>
      <c r="M16" s="183"/>
      <c r="N16" s="183"/>
      <c r="O16" s="183"/>
      <c r="P16" s="184"/>
    </row>
    <row r="17" spans="1:16" ht="13.8" thickTop="1">
      <c r="A17" s="204" t="s">
        <v>299</v>
      </c>
      <c r="B17" s="201" t="s">
        <v>300</v>
      </c>
      <c r="C17" s="194">
        <v>5</v>
      </c>
      <c r="D17" s="296">
        <v>9.0999999999999998E-2</v>
      </c>
      <c r="E17" s="195">
        <v>0.4</v>
      </c>
      <c r="F17" s="196" t="s">
        <v>150</v>
      </c>
      <c r="G17" s="214">
        <v>0.5</v>
      </c>
      <c r="H17" s="196" t="s">
        <v>209</v>
      </c>
      <c r="I17" s="186"/>
      <c r="J17" s="158">
        <f>IF(G17=1, I17, SUMPRODUCT(I17:I18, G17:G18))</f>
        <v>0</v>
      </c>
      <c r="K17" s="158">
        <f>SUMIF(I17:I18, "&lt;&gt;", G17:G18) / SUMIF(G17:G18, "&lt;&gt;")</f>
        <v>0</v>
      </c>
      <c r="L17" s="158" t="str">
        <f>IFERROR(J17/K17, "No grades yet")</f>
        <v>No grades yet</v>
      </c>
      <c r="M17" s="158">
        <f>IFERROR(IF(K17 = 1, "Completed module", IF(((70 - J17) / (1 - K17)) &gt; 100, "Unattainable", IF(((70 - J17) / (1 - K17)) &lt; 0, "Already attained", ((70 - J17) / (1 - K17))))), "-")</f>
        <v>70</v>
      </c>
      <c r="N17" s="158">
        <f>IFERROR(IF(K17 = 1, "Completed module", IF(((60 - J17) / (1 - K17)) &gt; 100, "Unattainable", IF(((60 - J17) / (1 - K17)) &lt; 0, "Already attained", ((60 - J17) / (1 - K17))))), "-")</f>
        <v>60</v>
      </c>
      <c r="O17" s="158">
        <f>IFERROR(IF(K17 = 1, "Completed module", IF(((50 - J17) / (1 - K17)) &gt; 100, "Unattainable", IF(((50 - J17) / (1 - K17)) &lt; 0, "Already attained", ((50 - J17) / (1 - K17))))), "-")</f>
        <v>50</v>
      </c>
      <c r="P17" s="166">
        <f>IFERROR(IF(K17 = 1, "Completed module", IF(((40 - J17) / (1 - K17)) &gt; 100, "Unattainable", IF(((40 - J17) / (1 - K17)) &lt; 0, "Already attained", ((40 - J17) / (1 - K17))))), "-")</f>
        <v>40</v>
      </c>
    </row>
    <row r="18" spans="1:16" ht="27" thickBot="1">
      <c r="A18" s="207"/>
      <c r="B18" s="208"/>
      <c r="C18" s="209"/>
      <c r="D18" s="298"/>
      <c r="E18" s="210"/>
      <c r="F18" s="211" t="s">
        <v>199</v>
      </c>
      <c r="G18" s="216">
        <v>0.5</v>
      </c>
      <c r="H18" s="211" t="s">
        <v>301</v>
      </c>
      <c r="I18" s="212"/>
      <c r="J18" s="183"/>
      <c r="K18" s="183"/>
      <c r="L18" s="183"/>
      <c r="M18" s="183"/>
      <c r="N18" s="183"/>
      <c r="O18" s="183"/>
      <c r="P18" s="184"/>
    </row>
    <row r="19" spans="1:16" ht="13.8" thickTop="1">
      <c r="A19" s="204" t="s">
        <v>302</v>
      </c>
      <c r="B19" s="201" t="s">
        <v>303</v>
      </c>
      <c r="C19" s="194">
        <v>5</v>
      </c>
      <c r="D19" s="296">
        <v>9.0999999999999998E-2</v>
      </c>
      <c r="E19" s="195">
        <v>0.4</v>
      </c>
      <c r="F19" s="196" t="s">
        <v>150</v>
      </c>
      <c r="G19" s="214">
        <v>0.82</v>
      </c>
      <c r="H19" s="196" t="s">
        <v>209</v>
      </c>
      <c r="I19" s="186"/>
      <c r="J19" s="158">
        <f>IF(G19=1, I19, SUMPRODUCT(I19:I22, G19:G22))</f>
        <v>0</v>
      </c>
      <c r="K19" s="158">
        <f>SUMIF(I19:I22, "&lt;&gt;", G19:G22) / SUMIF(G19:G22, "&lt;&gt;")</f>
        <v>0</v>
      </c>
      <c r="L19" s="158" t="str">
        <f>IFERROR(J19/K19, "No grades yet")</f>
        <v>No grades yet</v>
      </c>
      <c r="M19" s="158">
        <f>IFERROR(IF(K19 = 1, "Completed module", IF(((70 - J19) / (1 - K19)) &gt; 100, "Unattainable", IF(((70 - J19) / (1 - K19)) &lt; 0, "Already attained", ((70 - J19) / (1 - K19))))), "-")</f>
        <v>70</v>
      </c>
      <c r="N19" s="158">
        <f>IFERROR(IF(K19 = 1, "Completed module", IF(((60 - J19) / (1 - K19)) &gt; 100, "Unattainable", IF(((60 - J19) / (1 - K19)) &lt; 0, "Already attained", ((60 - J19) / (1 - K19))))), "-")</f>
        <v>60</v>
      </c>
      <c r="O19" s="158">
        <f>IFERROR(IF(K19 = 1, "Completed module", IF(((50 - J19) / (1 - K19)) &gt; 100, "Unattainable", IF(((50 - J19) / (1 - K19)) &lt; 0, "Already attained", ((50 - J19) / (1 - K19))))), "-")</f>
        <v>50</v>
      </c>
      <c r="P19" s="166">
        <f>IFERROR(IF(K19 = 1, "Completed module", IF(((40 - J19) / (1 - K19)) &gt; 100, "Unattainable", IF(((40 - J19) / (1 - K19)) &lt; 0, "Already attained", ((40 - J19) / (1 - K19))))), "-")</f>
        <v>40</v>
      </c>
    </row>
    <row r="20" spans="1:16">
      <c r="A20" s="205"/>
      <c r="B20" s="202"/>
      <c r="C20" s="191"/>
      <c r="D20" s="295"/>
      <c r="E20" s="192"/>
      <c r="F20" s="193" t="s">
        <v>217</v>
      </c>
      <c r="G20" s="213">
        <v>0.06</v>
      </c>
      <c r="H20" s="193" t="s">
        <v>304</v>
      </c>
      <c r="I20" s="185"/>
      <c r="J20" s="148"/>
      <c r="K20" s="148"/>
      <c r="L20" s="148"/>
      <c r="M20" s="148"/>
      <c r="N20" s="148"/>
      <c r="O20" s="148"/>
      <c r="P20" s="167"/>
    </row>
    <row r="21" spans="1:16">
      <c r="A21" s="205"/>
      <c r="B21" s="202"/>
      <c r="C21" s="191"/>
      <c r="D21" s="295"/>
      <c r="E21" s="192"/>
      <c r="F21" s="193" t="s">
        <v>217</v>
      </c>
      <c r="G21" s="213">
        <v>0.06</v>
      </c>
      <c r="H21" s="193" t="s">
        <v>305</v>
      </c>
      <c r="I21" s="185"/>
      <c r="J21" s="148"/>
      <c r="K21" s="148"/>
      <c r="L21" s="148"/>
      <c r="M21" s="148"/>
      <c r="N21" s="148"/>
      <c r="O21" s="148"/>
      <c r="P21" s="167"/>
    </row>
    <row r="22" spans="1:16" ht="13.8" thickBot="1">
      <c r="A22" s="207"/>
      <c r="B22" s="208"/>
      <c r="C22" s="209"/>
      <c r="D22" s="298"/>
      <c r="E22" s="210"/>
      <c r="F22" s="211" t="s">
        <v>217</v>
      </c>
      <c r="G22" s="216">
        <v>0.06</v>
      </c>
      <c r="H22" s="211" t="s">
        <v>306</v>
      </c>
      <c r="I22" s="212"/>
      <c r="J22" s="183"/>
      <c r="K22" s="183"/>
      <c r="L22" s="183"/>
      <c r="M22" s="183"/>
      <c r="N22" s="183"/>
      <c r="O22" s="183"/>
      <c r="P22" s="184"/>
    </row>
    <row r="23" spans="1:16" ht="13.8" thickTop="1">
      <c r="A23" s="204" t="s">
        <v>307</v>
      </c>
      <c r="B23" s="201" t="s">
        <v>308</v>
      </c>
      <c r="C23" s="194">
        <v>5</v>
      </c>
      <c r="D23" s="296">
        <v>9.0999999999999998E-2</v>
      </c>
      <c r="E23" s="195">
        <v>0.4</v>
      </c>
      <c r="F23" s="196" t="s">
        <v>150</v>
      </c>
      <c r="G23" s="214">
        <v>0.8</v>
      </c>
      <c r="H23" s="196" t="s">
        <v>209</v>
      </c>
      <c r="I23" s="186"/>
      <c r="J23" s="158">
        <f>IF(G23=1, I23, SUMPRODUCT(I23:I24, G23:G24))</f>
        <v>0</v>
      </c>
      <c r="K23" s="158">
        <f>SUMIF(I23:I24, "&lt;&gt;", G23:G24) / SUMIF(G23:G24, "&lt;&gt;")</f>
        <v>0</v>
      </c>
      <c r="L23" s="158" t="str">
        <f>IFERROR(J23/K23, "No grades yet")</f>
        <v>No grades yet</v>
      </c>
      <c r="M23" s="158">
        <f>IFERROR(IF(K23 = 1, "Completed module", IF(((70 - J23) / (1 - K23)) &gt; 100, "Unattainable", IF(((70 - J23) / (1 - K23)) &lt; 0, "Already attained", ((70 - J23) / (1 - K23))))), "-")</f>
        <v>70</v>
      </c>
      <c r="N23" s="158">
        <f>IFERROR(IF(K23 = 1, "Completed module", IF(((60 - J23) / (1 - K23)) &gt; 100, "Unattainable", IF(((60 - J23) / (1 - K23)) &lt; 0, "Already attained", ((60 - J23) / (1 - K23))))), "-")</f>
        <v>60</v>
      </c>
      <c r="O23" s="158">
        <f>IFERROR(IF(K23 = 1, "Completed module", IF(((50 - J23) / (1 - K23)) &gt; 100, "Unattainable", IF(((50 - J23) / (1 - K23)) &lt; 0, "Already attained", ((50 - J23) / (1 - K23))))), "-")</f>
        <v>50</v>
      </c>
      <c r="P23" s="166">
        <f>IFERROR(IF(K23 = 1, "Completed module", IF(((40 - J23) / (1 - K23)) &gt; 100, "Unattainable", IF(((40 - J23) / (1 - K23)) &lt; 0, "Already attained", ((40 - J23) / (1 - K23))))), "-")</f>
        <v>40</v>
      </c>
    </row>
    <row r="24" spans="1:16" ht="13.8" thickBot="1">
      <c r="A24" s="206"/>
      <c r="B24" s="203"/>
      <c r="C24" s="198"/>
      <c r="D24" s="297"/>
      <c r="E24" s="199"/>
      <c r="F24" s="200" t="s">
        <v>233</v>
      </c>
      <c r="G24" s="215">
        <v>0.2</v>
      </c>
      <c r="H24" s="200" t="s">
        <v>233</v>
      </c>
      <c r="I24" s="187"/>
      <c r="J24" s="165"/>
      <c r="K24" s="165"/>
      <c r="L24" s="165"/>
      <c r="M24" s="165"/>
      <c r="N24" s="165"/>
      <c r="O24" s="165"/>
      <c r="P24" s="168"/>
    </row>
    <row r="25" spans="1:16" ht="13.8" thickTop="1">
      <c r="A25" s="141" t="s">
        <v>309</v>
      </c>
      <c r="B25" s="142" t="s">
        <v>310</v>
      </c>
      <c r="C25" s="143">
        <v>5</v>
      </c>
      <c r="D25" s="291">
        <v>9.0999999999999998E-2</v>
      </c>
      <c r="E25" s="144">
        <v>0.4</v>
      </c>
      <c r="F25" s="50" t="s">
        <v>150</v>
      </c>
      <c r="G25" s="51">
        <v>0.5</v>
      </c>
      <c r="H25" s="50" t="s">
        <v>209</v>
      </c>
      <c r="I25" s="35"/>
      <c r="J25" s="77">
        <f>IF(G25=1, I25, SUMPRODUCT(I25:I28, G25:G28))</f>
        <v>0</v>
      </c>
      <c r="K25" s="77">
        <f>SUMIF(I25:I28, "&lt;&gt;", G25:G28) / SUMIF(G25:G28, "&lt;&gt;")</f>
        <v>0</v>
      </c>
      <c r="L25" s="77" t="str">
        <f>IFERROR(J25/K25, "No grades yet")</f>
        <v>No grades yet</v>
      </c>
      <c r="M25" s="77">
        <f>IFERROR(IF(K25 = 1, "Completed module", IF(((70 - J25) / (1 - K25)) &gt; 100, "Unattainable", IF(((70 - J25) / (1 - K25)) &lt; 0, "Already attained", ((70 - J25) / (1 - K25))))), "-")</f>
        <v>70</v>
      </c>
      <c r="N25" s="77">
        <f>IFERROR(IF(K25 = 1, "Completed module", IF(((60 - J25) / (1 - K25)) &gt; 100, "Unattainable", IF(((60 - J25) / (1 - K25)) &lt; 0, "Already attained", ((60 - J25) / (1 - K25))))), "-")</f>
        <v>60</v>
      </c>
      <c r="O25" s="77">
        <f>IFERROR(IF(K25 = 1, "Completed module", IF(((50 - J25) / (1 - K25)) &gt; 100, "Unattainable", IF(((50 - J25) / (1 - K25)) &lt; 0, "Already attained", ((50 - J25) / (1 - K25))))), "-")</f>
        <v>50</v>
      </c>
      <c r="P25" s="78">
        <f>IFERROR(IF(K25 = 1, "Completed module", IF(((40 - J25) / (1 - K25)) &gt; 100, "Unattainable", IF(((40 - J25) / (1 - K25)) &lt; 0, "Already attained", ((40 - J25) / (1 - K25))))), "-")</f>
        <v>40</v>
      </c>
    </row>
    <row r="26" spans="1:16">
      <c r="A26" s="122"/>
      <c r="B26" s="125"/>
      <c r="C26" s="128"/>
      <c r="D26" s="287"/>
      <c r="E26" s="119"/>
      <c r="F26" s="23" t="s">
        <v>191</v>
      </c>
      <c r="G26" s="24">
        <v>0.15</v>
      </c>
      <c r="H26" s="23" t="s">
        <v>311</v>
      </c>
      <c r="I26" s="11"/>
      <c r="J26" s="73"/>
      <c r="K26" s="73"/>
      <c r="L26" s="73"/>
      <c r="M26" s="73"/>
      <c r="N26" s="73"/>
      <c r="O26" s="73"/>
      <c r="P26" s="75"/>
    </row>
    <row r="27" spans="1:16">
      <c r="A27" s="122"/>
      <c r="B27" s="125"/>
      <c r="C27" s="128"/>
      <c r="D27" s="287"/>
      <c r="E27" s="119"/>
      <c r="F27" s="23" t="s">
        <v>191</v>
      </c>
      <c r="G27" s="24">
        <v>0.15</v>
      </c>
      <c r="H27" s="23" t="s">
        <v>312</v>
      </c>
      <c r="I27" s="11"/>
      <c r="J27" s="73"/>
      <c r="K27" s="73"/>
      <c r="L27" s="73"/>
      <c r="M27" s="73"/>
      <c r="N27" s="73"/>
      <c r="O27" s="73"/>
      <c r="P27" s="75"/>
    </row>
    <row r="28" spans="1:16" ht="13.8" thickBot="1">
      <c r="A28" s="123"/>
      <c r="B28" s="126"/>
      <c r="C28" s="129"/>
      <c r="D28" s="288"/>
      <c r="E28" s="120"/>
      <c r="F28" s="30" t="s">
        <v>233</v>
      </c>
      <c r="G28" s="31">
        <v>0.2</v>
      </c>
      <c r="H28" s="30" t="s">
        <v>233</v>
      </c>
      <c r="I28" s="13"/>
      <c r="J28" s="70"/>
      <c r="K28" s="70"/>
      <c r="L28" s="70"/>
      <c r="M28" s="70"/>
      <c r="N28" s="70"/>
      <c r="O28" s="70"/>
      <c r="P28" s="72"/>
    </row>
    <row r="29" spans="1:16" ht="23.4" customHeight="1" thickTop="1">
      <c r="A29" s="204" t="s">
        <v>313</v>
      </c>
      <c r="B29" s="201" t="s">
        <v>314</v>
      </c>
      <c r="C29" s="194">
        <v>5</v>
      </c>
      <c r="D29" s="296">
        <v>9.0999999999999998E-2</v>
      </c>
      <c r="E29" s="195">
        <v>0.4</v>
      </c>
      <c r="F29" s="196" t="s">
        <v>199</v>
      </c>
      <c r="G29" s="214">
        <v>0.7</v>
      </c>
      <c r="H29" s="196" t="s">
        <v>315</v>
      </c>
      <c r="I29" s="186"/>
      <c r="J29" s="158">
        <f>IF(G29=1, I29, SUMPRODUCT(I29:I31, G29:G31))</f>
        <v>0</v>
      </c>
      <c r="K29" s="158">
        <f>SUMIF(I29:I31, "&lt;&gt;", G29:G31) / SUMIF(G29:G31, "&lt;&gt;")</f>
        <v>0</v>
      </c>
      <c r="L29" s="158" t="str">
        <f>IFERROR(J29/K29, "No grades yet")</f>
        <v>No grades yet</v>
      </c>
      <c r="M29" s="158">
        <f>IFERROR(IF(K29 = 1, "Completed module", IF(((70 - J29) / (1 - K29)) &gt; 100, "Unattainable", IF(((70 - J29) / (1 - K29)) &lt; 0, "Already attained", ((70 - J29) / (1 - K29))))), "-")</f>
        <v>70</v>
      </c>
      <c r="N29" s="158">
        <f>IFERROR(IF(K29 = 1, "Completed module", IF(((60 - J29) / (1 - K29)) &gt; 100, "Unattainable", IF(((60 - J29) / (1 - K29)) &lt; 0, "Already attained", ((60 - J29) / (1 - K29))))), "-")</f>
        <v>60</v>
      </c>
      <c r="O29" s="158">
        <f>IFERROR(IF(K29 = 1, "Completed module", IF(((50 - J29) / (1 - K29)) &gt; 100, "Unattainable", IF(((50 - J29) / (1 - K29)) &lt; 0, "Already attained", ((50 - J29) / (1 - K29))))), "-")</f>
        <v>50</v>
      </c>
      <c r="P29" s="166">
        <f>IFERROR(IF(K29 = 1, "Completed module", IF(((40 - J29) / (1 - K29)) &gt; 100, "Unattainable", IF(((40 - J29) / (1 - K29)) &lt; 0, "Already attained", ((40 - J29) / (1 - K29))))), "-")</f>
        <v>40</v>
      </c>
    </row>
    <row r="30" spans="1:16">
      <c r="A30" s="205"/>
      <c r="B30" s="202"/>
      <c r="C30" s="191"/>
      <c r="D30" s="295"/>
      <c r="E30" s="192"/>
      <c r="F30" s="193" t="s">
        <v>188</v>
      </c>
      <c r="G30" s="213">
        <v>0.15</v>
      </c>
      <c r="H30" s="193" t="s">
        <v>316</v>
      </c>
      <c r="I30" s="185"/>
      <c r="J30" s="148"/>
      <c r="K30" s="148"/>
      <c r="L30" s="148"/>
      <c r="M30" s="148"/>
      <c r="N30" s="148"/>
      <c r="O30" s="148"/>
      <c r="P30" s="167"/>
    </row>
    <row r="31" spans="1:16" ht="13.8" thickBot="1">
      <c r="A31" s="207"/>
      <c r="B31" s="208"/>
      <c r="C31" s="209"/>
      <c r="D31" s="298"/>
      <c r="E31" s="210"/>
      <c r="F31" s="211" t="s">
        <v>201</v>
      </c>
      <c r="G31" s="216">
        <v>0.15</v>
      </c>
      <c r="H31" s="211" t="s">
        <v>317</v>
      </c>
      <c r="I31" s="212"/>
      <c r="J31" s="183"/>
      <c r="K31" s="183"/>
      <c r="L31" s="183"/>
      <c r="M31" s="183"/>
      <c r="N31" s="183"/>
      <c r="O31" s="183"/>
      <c r="P31" s="184"/>
    </row>
    <row r="32" spans="1:16" ht="13.8" thickTop="1">
      <c r="A32" s="204" t="s">
        <v>318</v>
      </c>
      <c r="B32" s="201" t="s">
        <v>319</v>
      </c>
      <c r="C32" s="194">
        <v>5</v>
      </c>
      <c r="D32" s="296">
        <v>9.0999999999999998E-2</v>
      </c>
      <c r="E32" s="195">
        <v>0.4</v>
      </c>
      <c r="F32" s="196" t="s">
        <v>150</v>
      </c>
      <c r="G32" s="214">
        <v>0.7</v>
      </c>
      <c r="H32" s="196" t="s">
        <v>209</v>
      </c>
      <c r="I32" s="186"/>
      <c r="J32" s="158">
        <f>IF(G32=1, I32, SUMPRODUCT(I32:I34, G32:G34))</f>
        <v>0</v>
      </c>
      <c r="K32" s="158">
        <f>SUMIF(I32:I34, "&lt;&gt;", G32:G34) / SUMIF(G32:G34, "&lt;&gt;")</f>
        <v>0</v>
      </c>
      <c r="L32" s="158" t="str">
        <f>IFERROR(J32/K32, "No grades yet")</f>
        <v>No grades yet</v>
      </c>
      <c r="M32" s="158">
        <f>IFERROR(IF(K32 = 1, "Completed module", IF(((70 - J32) / (1 - K32)) &gt; 100, "Unattainable", IF(((70 - J32) / (1 - K32)) &lt; 0, "Already attained", ((70 - J32) / (1 - K32))))), "-")</f>
        <v>70</v>
      </c>
      <c r="N32" s="158">
        <f>IFERROR(IF(K32 = 1, "Completed module", IF(((60 - J32) / (1 - K32)) &gt; 100, "Unattainable", IF(((60 - J32) / (1 - K32)) &lt; 0, "Already attained", ((60 - J32) / (1 - K32))))), "-")</f>
        <v>60</v>
      </c>
      <c r="O32" s="158">
        <f>IFERROR(IF(K32 = 1, "Completed module", IF(((50 - J32) / (1 - K32)) &gt; 100, "Unattainable", IF(((50 - J32) / (1 - K32)) &lt; 0, "Already attained", ((50 - J32) / (1 - K32))))), "-")</f>
        <v>50</v>
      </c>
      <c r="P32" s="166">
        <f>IFERROR(IF(K32 = 1, "Completed module", IF(((40 - J32) / (1 - K32)) &gt; 100, "Unattainable", IF(((40 - J32) / (1 - K32)) &lt; 0, "Already attained", ((40 - J32) / (1 - K32))))), "-")</f>
        <v>40</v>
      </c>
    </row>
    <row r="33" spans="1:16">
      <c r="A33" s="205"/>
      <c r="B33" s="202"/>
      <c r="C33" s="191"/>
      <c r="D33" s="295"/>
      <c r="E33" s="192"/>
      <c r="F33" s="193" t="s">
        <v>191</v>
      </c>
      <c r="G33" s="213">
        <v>0.15</v>
      </c>
      <c r="H33" s="193" t="s">
        <v>320</v>
      </c>
      <c r="I33" s="185"/>
      <c r="J33" s="148"/>
      <c r="K33" s="148"/>
      <c r="L33" s="148"/>
      <c r="M33" s="148"/>
      <c r="N33" s="148"/>
      <c r="O33" s="148"/>
      <c r="P33" s="167"/>
    </row>
    <row r="34" spans="1:16" ht="13.8" thickBot="1">
      <c r="A34" s="206"/>
      <c r="B34" s="203"/>
      <c r="C34" s="198"/>
      <c r="D34" s="297"/>
      <c r="E34" s="199"/>
      <c r="F34" s="200" t="s">
        <v>191</v>
      </c>
      <c r="G34" s="215">
        <v>0.15</v>
      </c>
      <c r="H34" s="200" t="s">
        <v>321</v>
      </c>
      <c r="I34" s="187"/>
      <c r="J34" s="165"/>
      <c r="K34" s="165"/>
      <c r="L34" s="165"/>
      <c r="M34" s="165"/>
      <c r="N34" s="165"/>
      <c r="O34" s="165"/>
      <c r="P34" s="168"/>
    </row>
    <row r="35" spans="1:16" ht="13.8" thickTop="1">
      <c r="A35" s="141" t="s">
        <v>322</v>
      </c>
      <c r="B35" s="142" t="s">
        <v>323</v>
      </c>
      <c r="C35" s="143">
        <v>5</v>
      </c>
      <c r="D35" s="291">
        <v>9.0999999999999998E-2</v>
      </c>
      <c r="E35" s="144">
        <v>0.4</v>
      </c>
      <c r="F35" s="50" t="s">
        <v>150</v>
      </c>
      <c r="G35" s="51">
        <v>0.75</v>
      </c>
      <c r="H35" s="50" t="s">
        <v>209</v>
      </c>
      <c r="I35" s="35"/>
      <c r="J35" s="77">
        <f>IF(G35=1, I35, SUMPRODUCT(I35:I36, G35:G36))</f>
        <v>0</v>
      </c>
      <c r="K35" s="77">
        <f>SUMIF(I35:I36, "&lt;&gt;", G35:G36) / SUMIF(G35:G36, "&lt;&gt;")</f>
        <v>0</v>
      </c>
      <c r="L35" s="77" t="str">
        <f>IFERROR(J35/K35, "No grades yet")</f>
        <v>No grades yet</v>
      </c>
      <c r="M35" s="77">
        <f>IFERROR(IF(K35 = 1, "Completed module", IF(((70 - J35) / (1 - K35)) &gt; 100, "Unattainable", IF(((70 - J35) / (1 - K35)) &lt; 0, "Already attained", ((70 - J35) / (1 - K35))))), "-")</f>
        <v>70</v>
      </c>
      <c r="N35" s="77">
        <f>IFERROR(IF(K35 = 1, "Completed module", IF(((60 - J35) / (1 - K35)) &gt; 100, "Unattainable", IF(((60 - J35) / (1 - K35)) &lt; 0, "Already attained", ((60 - J35) / (1 - K35))))), "-")</f>
        <v>60</v>
      </c>
      <c r="O35" s="77">
        <f>IFERROR(IF(K35 = 1, "Completed module", IF(((50 - J35) / (1 - K35)) &gt; 100, "Unattainable", IF(((50 - J35) / (1 - K35)) &lt; 0, "Already attained", ((50 - J35) / (1 - K35))))), "-")</f>
        <v>50</v>
      </c>
      <c r="P35" s="78">
        <f>IFERROR(IF(K35 = 1, "Completed module", IF(((40 - J35) / (1 - K35)) &gt; 100, "Unattainable", IF(((40 - J35) / (1 - K35)) &lt; 0, "Already attained", ((40 - J35) / (1 - K35))))), "-")</f>
        <v>40</v>
      </c>
    </row>
    <row r="36" spans="1:16" ht="13.8" thickBot="1">
      <c r="A36" s="123"/>
      <c r="B36" s="126"/>
      <c r="C36" s="129"/>
      <c r="D36" s="288"/>
      <c r="E36" s="120"/>
      <c r="F36" s="30" t="s">
        <v>233</v>
      </c>
      <c r="G36" s="31">
        <v>0.25</v>
      </c>
      <c r="H36" s="30" t="s">
        <v>324</v>
      </c>
      <c r="I36" s="13"/>
      <c r="J36" s="70"/>
      <c r="K36" s="70"/>
      <c r="L36" s="70"/>
      <c r="M36" s="70"/>
      <c r="N36" s="70"/>
      <c r="O36" s="70"/>
      <c r="P36" s="72"/>
    </row>
    <row r="37" spans="1:16" ht="14.4" thickTop="1" thickBot="1">
      <c r="A37" s="34" t="s">
        <v>290</v>
      </c>
      <c r="B37" s="33" t="s">
        <v>291</v>
      </c>
      <c r="C37" s="32">
        <v>5</v>
      </c>
      <c r="D37" s="289">
        <v>0</v>
      </c>
      <c r="E37" s="63" t="s">
        <v>292</v>
      </c>
      <c r="F37" s="44" t="s">
        <v>293</v>
      </c>
      <c r="G37" s="64"/>
      <c r="H37" s="65"/>
      <c r="I37" s="66"/>
      <c r="J37" s="67" t="e">
        <f>IF(G37=1, I37, SUMPRODUCT(I37:I37, G37:G37))</f>
        <v>#VALUE!</v>
      </c>
      <c r="K37" s="67" t="e">
        <f>SUMIF(I37:I37, "&lt;&gt;", G37:G37) / SUMIF(G37:G37, "&lt;&gt;")</f>
        <v>#DIV/0!</v>
      </c>
      <c r="L37" s="67" t="str">
        <f>IFERROR(J37/K37, "No grades yet")</f>
        <v>No grades yet</v>
      </c>
      <c r="M37" s="67" t="str">
        <f>IFERROR(IF(K37 = 1, "Completed module", IF(((70 - J37) / (1 - K37)) &gt; 100, "Unattainable", IF(((70 - J37) / (1 - K37)) &lt; 0, "Already attained", ((70 - J37) / (1 - K37))))), "-")</f>
        <v>-</v>
      </c>
      <c r="N37" s="67" t="str">
        <f>IFERROR(IF(K37 = 1, "Completed module", IF(((60 - J37) / (1 - K37)) &gt; 100, "Unattainable", IF(((60 - J37) / (1 - K37)) &lt; 0, "Already attained", ((60 - J37) / (1 - K37))))), "-")</f>
        <v>-</v>
      </c>
      <c r="O37" s="67" t="str">
        <f>IFERROR(IF(K37 = 1, "Completed module", IF(((50 - J37) / (1 - K37)) &gt; 100, "Unattainable", IF(((50 - J37) / (1 - K37)) &lt; 0, "Already attained", ((50 - J37) / (1 - K37))))), "-")</f>
        <v>-</v>
      </c>
      <c r="P37" s="68" t="str">
        <f>IFERROR(IF(K37 = 1, "Completed module", IF(((40 - J37) / (1 - K37)) &gt; 100, "Unattainable", IF(((40 - J37) / (1 - K37)) &lt; 0, "Already attained", ((40 - J37) / (1 - K37))))), "-")</f>
        <v>-</v>
      </c>
    </row>
    <row r="38" spans="1:16" ht="13.8" thickTop="1"/>
    <row r="39" spans="1:16" ht="13.8" thickBot="1">
      <c r="A39" s="103" t="s">
        <v>94</v>
      </c>
      <c r="B39" s="104"/>
      <c r="C39" s="3"/>
      <c r="D39" s="3"/>
      <c r="E39" s="3"/>
      <c r="F39" s="3"/>
      <c r="G39" s="3"/>
      <c r="H39" s="3"/>
    </row>
    <row r="40" spans="1:16" ht="13.8" thickBot="1">
      <c r="A40" s="45" t="s">
        <v>65</v>
      </c>
      <c r="B40" s="46" t="s">
        <v>1</v>
      </c>
      <c r="C40" s="47" t="s">
        <v>0</v>
      </c>
      <c r="D40" s="47" t="s">
        <v>91</v>
      </c>
      <c r="E40" s="47" t="s">
        <v>92</v>
      </c>
      <c r="F40" s="131" t="s">
        <v>93</v>
      </c>
      <c r="G40" s="132"/>
      <c r="H40" s="133"/>
      <c r="I40" s="47" t="s">
        <v>2</v>
      </c>
      <c r="J40" s="47" t="s">
        <v>3</v>
      </c>
      <c r="K40" s="47" t="s">
        <v>4</v>
      </c>
      <c r="L40" s="48" t="s">
        <v>5</v>
      </c>
      <c r="M40" s="47" t="s">
        <v>6</v>
      </c>
      <c r="N40" s="49" t="s">
        <v>7</v>
      </c>
      <c r="O40" s="14" t="s">
        <v>194</v>
      </c>
      <c r="P40" s="14" t="s">
        <v>195</v>
      </c>
    </row>
    <row r="41" spans="1:16" ht="22.8" customHeight="1" thickTop="1">
      <c r="A41" s="204" t="s">
        <v>294</v>
      </c>
      <c r="B41" s="201" t="s">
        <v>295</v>
      </c>
      <c r="C41" s="194">
        <v>5</v>
      </c>
      <c r="D41" s="300">
        <v>9.0999999999999998E-2</v>
      </c>
      <c r="E41" s="195">
        <v>0.4</v>
      </c>
      <c r="F41" s="196" t="s">
        <v>150</v>
      </c>
      <c r="G41" s="214">
        <v>0.75</v>
      </c>
      <c r="H41" s="196" t="s">
        <v>209</v>
      </c>
      <c r="I41" s="186"/>
      <c r="J41" s="158">
        <f>IF(G41=1, I41, SUMPRODUCT(I41:I44, G41:G44))</f>
        <v>0</v>
      </c>
      <c r="K41" s="158">
        <f>SUMIF(I41:I44, "&lt;&gt;", G41:G44) / SUMIF(G41:G44, "&lt;&gt;")</f>
        <v>0</v>
      </c>
      <c r="L41" s="158" t="str">
        <f>IFERROR(J41/K41, "No grades yet")</f>
        <v>No grades yet</v>
      </c>
      <c r="M41" s="158">
        <f>IFERROR(IF(K41 = 1, "Completed module", IF(((70 - J41) / (1 - K41)) &gt; 100, "Unattainable", IF(((70 - J41) / (1 - K41)) &lt; 0, "Already attained", ((70 - J41) / (1 - K41))))), "-")</f>
        <v>70</v>
      </c>
      <c r="N41" s="158">
        <f>IFERROR(IF(K41 = 1, "Completed module", IF(((60 - J41) / (1 - K41)) &gt; 100, "Unattainable", IF(((60 - J41) / (1 - K41)) &lt; 0, "Already attained", ((60 - J41) / (1 - K41))))), "-")</f>
        <v>60</v>
      </c>
      <c r="O41" s="158">
        <f>IFERROR(IF(K41 = 1, "Completed module", IF(((50 - J41) / (1 - K41)) &gt; 100, "Unattainable", IF(((50 - J41) / (1 - K41)) &lt; 0, "Already attained", ((50 - J41) / (1 - K41))))), "-")</f>
        <v>50</v>
      </c>
      <c r="P41" s="166">
        <f>IFERROR(IF(K41 = 1, "Completed module", IF(((40 - J41) / (1 - K41)) &gt; 100, "Unattainable", IF(((40 - J41) / (1 - K41)) &lt; 0, "Already attained", ((40 - J41) / (1 - K41))))), "-")</f>
        <v>40</v>
      </c>
    </row>
    <row r="42" spans="1:16">
      <c r="A42" s="205"/>
      <c r="B42" s="202"/>
      <c r="C42" s="191"/>
      <c r="D42" s="299"/>
      <c r="E42" s="192"/>
      <c r="F42" s="193" t="s">
        <v>191</v>
      </c>
      <c r="G42" s="213">
        <v>0.05</v>
      </c>
      <c r="H42" s="193" t="s">
        <v>296</v>
      </c>
      <c r="I42" s="185"/>
      <c r="J42" s="148"/>
      <c r="K42" s="148"/>
      <c r="L42" s="148"/>
      <c r="M42" s="148"/>
      <c r="N42" s="148"/>
      <c r="O42" s="148"/>
      <c r="P42" s="167"/>
    </row>
    <row r="43" spans="1:16">
      <c r="A43" s="205"/>
      <c r="B43" s="202"/>
      <c r="C43" s="191"/>
      <c r="D43" s="299"/>
      <c r="E43" s="192"/>
      <c r="F43" s="193" t="s">
        <v>191</v>
      </c>
      <c r="G43" s="213">
        <v>0.08</v>
      </c>
      <c r="H43" s="193" t="s">
        <v>297</v>
      </c>
      <c r="I43" s="185"/>
      <c r="J43" s="148"/>
      <c r="K43" s="148"/>
      <c r="L43" s="148"/>
      <c r="M43" s="148"/>
      <c r="N43" s="148"/>
      <c r="O43" s="148"/>
      <c r="P43" s="167"/>
    </row>
    <row r="44" spans="1:16" ht="27" thickBot="1">
      <c r="A44" s="207"/>
      <c r="B44" s="208"/>
      <c r="C44" s="209"/>
      <c r="D44" s="301"/>
      <c r="E44" s="210"/>
      <c r="F44" s="211" t="s">
        <v>199</v>
      </c>
      <c r="G44" s="216">
        <v>0.12</v>
      </c>
      <c r="H44" s="211" t="s">
        <v>298</v>
      </c>
      <c r="I44" s="212"/>
      <c r="J44" s="183"/>
      <c r="K44" s="183"/>
      <c r="L44" s="183"/>
      <c r="M44" s="183"/>
      <c r="N44" s="183"/>
      <c r="O44" s="183"/>
      <c r="P44" s="184"/>
    </row>
    <row r="45" spans="1:16" ht="13.8" thickTop="1">
      <c r="A45" s="204" t="s">
        <v>299</v>
      </c>
      <c r="B45" s="201" t="s">
        <v>300</v>
      </c>
      <c r="C45" s="194">
        <v>5</v>
      </c>
      <c r="D45" s="300">
        <v>9.0999999999999998E-2</v>
      </c>
      <c r="E45" s="195">
        <v>0.4</v>
      </c>
      <c r="F45" s="196" t="s">
        <v>150</v>
      </c>
      <c r="G45" s="214">
        <v>0.5</v>
      </c>
      <c r="H45" s="196" t="s">
        <v>209</v>
      </c>
      <c r="I45" s="186"/>
      <c r="J45" s="158">
        <f>IF(G45=1, I45, SUMPRODUCT(I45:I46, G45:G46))</f>
        <v>0</v>
      </c>
      <c r="K45" s="158">
        <f>SUMIF(I45:I46, "&lt;&gt;", G45:G46) / SUMIF(G45:G46, "&lt;&gt;")</f>
        <v>0</v>
      </c>
      <c r="L45" s="158" t="str">
        <f>IFERROR(J45/K45, "No grades yet")</f>
        <v>No grades yet</v>
      </c>
      <c r="M45" s="158">
        <f>IFERROR(IF(K45 = 1, "Completed module", IF(((70 - J45) / (1 - K45)) &gt; 100, "Unattainable", IF(((70 - J45) / (1 - K45)) &lt; 0, "Already attained", ((70 - J45) / (1 - K45))))), "-")</f>
        <v>70</v>
      </c>
      <c r="N45" s="158">
        <f>IFERROR(IF(K45 = 1, "Completed module", IF(((60 - J45) / (1 - K45)) &gt; 100, "Unattainable", IF(((60 - J45) / (1 - K45)) &lt; 0, "Already attained", ((60 - J45) / (1 - K45))))), "-")</f>
        <v>60</v>
      </c>
      <c r="O45" s="158">
        <f>IFERROR(IF(K45 = 1, "Completed module", IF(((50 - J45) / (1 - K45)) &gt; 100, "Unattainable", IF(((50 - J45) / (1 - K45)) &lt; 0, "Already attained", ((50 - J45) / (1 - K45))))), "-")</f>
        <v>50</v>
      </c>
      <c r="P45" s="166">
        <f>IFERROR(IF(K45 = 1, "Completed module", IF(((40 - J45) / (1 - K45)) &gt; 100, "Unattainable", IF(((40 - J45) / (1 - K45)) &lt; 0, "Already attained", ((40 - J45) / (1 - K45))))), "-")</f>
        <v>40</v>
      </c>
    </row>
    <row r="46" spans="1:16" ht="27" thickBot="1">
      <c r="A46" s="207"/>
      <c r="B46" s="208"/>
      <c r="C46" s="209"/>
      <c r="D46" s="301"/>
      <c r="E46" s="210"/>
      <c r="F46" s="211" t="s">
        <v>199</v>
      </c>
      <c r="G46" s="216">
        <v>0.5</v>
      </c>
      <c r="H46" s="211" t="s">
        <v>301</v>
      </c>
      <c r="I46" s="212"/>
      <c r="J46" s="183"/>
      <c r="K46" s="183"/>
      <c r="L46" s="183"/>
      <c r="M46" s="183"/>
      <c r="N46" s="183"/>
      <c r="O46" s="183"/>
      <c r="P46" s="184"/>
    </row>
    <row r="47" spans="1:16" ht="13.8" thickTop="1">
      <c r="A47" s="204" t="s">
        <v>302</v>
      </c>
      <c r="B47" s="201" t="s">
        <v>303</v>
      </c>
      <c r="C47" s="194">
        <v>5</v>
      </c>
      <c r="D47" s="300">
        <v>9.0999999999999998E-2</v>
      </c>
      <c r="E47" s="195">
        <v>0.4</v>
      </c>
      <c r="F47" s="196" t="s">
        <v>150</v>
      </c>
      <c r="G47" s="214">
        <v>0.82</v>
      </c>
      <c r="H47" s="196" t="s">
        <v>209</v>
      </c>
      <c r="I47" s="186"/>
      <c r="J47" s="158">
        <f>IF(G47=1, I47, SUMPRODUCT(I47:I50, G47:G50))</f>
        <v>0</v>
      </c>
      <c r="K47" s="158">
        <f>SUMIF(I47:I50, "&lt;&gt;", G47:G50) / SUMIF(G47:G50, "&lt;&gt;")</f>
        <v>0</v>
      </c>
      <c r="L47" s="158" t="str">
        <f>IFERROR(J47/K47, "No grades yet")</f>
        <v>No grades yet</v>
      </c>
      <c r="M47" s="158">
        <f>IFERROR(IF(K47 = 1, "Completed module", IF(((70 - J47) / (1 - K47)) &gt; 100, "Unattainable", IF(((70 - J47) / (1 - K47)) &lt; 0, "Already attained", ((70 - J47) / (1 - K47))))), "-")</f>
        <v>70</v>
      </c>
      <c r="N47" s="158">
        <f>IFERROR(IF(K47 = 1, "Completed module", IF(((60 - J47) / (1 - K47)) &gt; 100, "Unattainable", IF(((60 - J47) / (1 - K47)) &lt; 0, "Already attained", ((60 - J47) / (1 - K47))))), "-")</f>
        <v>60</v>
      </c>
      <c r="O47" s="158">
        <f>IFERROR(IF(K47 = 1, "Completed module", IF(((50 - J47) / (1 - K47)) &gt; 100, "Unattainable", IF(((50 - J47) / (1 - K47)) &lt; 0, "Already attained", ((50 - J47) / (1 - K47))))), "-")</f>
        <v>50</v>
      </c>
      <c r="P47" s="166">
        <f>IFERROR(IF(K47 = 1, "Completed module", IF(((40 - J47) / (1 - K47)) &gt; 100, "Unattainable", IF(((40 - J47) / (1 - K47)) &lt; 0, "Already attained", ((40 - J47) / (1 - K47))))), "-")</f>
        <v>40</v>
      </c>
    </row>
    <row r="48" spans="1:16">
      <c r="A48" s="205"/>
      <c r="B48" s="202"/>
      <c r="C48" s="191"/>
      <c r="D48" s="299"/>
      <c r="E48" s="192"/>
      <c r="F48" s="193" t="s">
        <v>217</v>
      </c>
      <c r="G48" s="213">
        <v>0.06</v>
      </c>
      <c r="H48" s="193" t="s">
        <v>304</v>
      </c>
      <c r="I48" s="185"/>
      <c r="J48" s="148"/>
      <c r="K48" s="148"/>
      <c r="L48" s="148"/>
      <c r="M48" s="148"/>
      <c r="N48" s="148"/>
      <c r="O48" s="148"/>
      <c r="P48" s="167"/>
    </row>
    <row r="49" spans="1:16">
      <c r="A49" s="205"/>
      <c r="B49" s="202"/>
      <c r="C49" s="191"/>
      <c r="D49" s="299"/>
      <c r="E49" s="192"/>
      <c r="F49" s="193" t="s">
        <v>217</v>
      </c>
      <c r="G49" s="213">
        <v>0.06</v>
      </c>
      <c r="H49" s="193" t="s">
        <v>305</v>
      </c>
      <c r="I49" s="185"/>
      <c r="J49" s="148"/>
      <c r="K49" s="148"/>
      <c r="L49" s="148"/>
      <c r="M49" s="148"/>
      <c r="N49" s="148"/>
      <c r="O49" s="148"/>
      <c r="P49" s="167"/>
    </row>
    <row r="50" spans="1:16" ht="13.8" thickBot="1">
      <c r="A50" s="207"/>
      <c r="B50" s="208"/>
      <c r="C50" s="209"/>
      <c r="D50" s="301"/>
      <c r="E50" s="210"/>
      <c r="F50" s="211" t="s">
        <v>217</v>
      </c>
      <c r="G50" s="216">
        <v>0.06</v>
      </c>
      <c r="H50" s="211" t="s">
        <v>306</v>
      </c>
      <c r="I50" s="212"/>
      <c r="J50" s="183"/>
      <c r="K50" s="183"/>
      <c r="L50" s="183"/>
      <c r="M50" s="183"/>
      <c r="N50" s="183"/>
      <c r="O50" s="183"/>
      <c r="P50" s="184"/>
    </row>
    <row r="51" spans="1:16" ht="34.799999999999997" customHeight="1" thickTop="1">
      <c r="A51" s="204" t="s">
        <v>325</v>
      </c>
      <c r="B51" s="201" t="s">
        <v>326</v>
      </c>
      <c r="C51" s="194">
        <v>5</v>
      </c>
      <c r="D51" s="300">
        <v>9.0999999999999998E-2</v>
      </c>
      <c r="E51" s="195">
        <v>0.4</v>
      </c>
      <c r="F51" s="196" t="s">
        <v>327</v>
      </c>
      <c r="G51" s="214">
        <v>0.3</v>
      </c>
      <c r="H51" s="196" t="s">
        <v>327</v>
      </c>
      <c r="I51" s="186"/>
      <c r="J51" s="158">
        <f>IF(G51=1, I51, SUMPRODUCT(I51:I55, G51:G55))</f>
        <v>0</v>
      </c>
      <c r="K51" s="158">
        <f>SUMIF(I51:I55, "&lt;&gt;", G51:G55) / SUMIF(G51:G55, "&lt;&gt;")</f>
        <v>0</v>
      </c>
      <c r="L51" s="158" t="str">
        <f>IFERROR(J51/K51, "No grades yet")</f>
        <v>No grades yet</v>
      </c>
      <c r="M51" s="158">
        <f>IFERROR(IF(K51 = 1, "Completed module", IF(((70 - J51) / (1 - K51)) &gt; 100, "Unattainable", IF(((70 - J51) / (1 - K51)) &lt; 0, "Already attained", ((70 - J51) / (1 - K51))))), "-")</f>
        <v>70</v>
      </c>
      <c r="N51" s="158">
        <f>IFERROR(IF(K51 = 1, "Completed module", IF(((60 - J51) / (1 - K51)) &gt; 100, "Unattainable", IF(((60 - J51) / (1 - K51)) &lt; 0, "Already attained", ((60 - J51) / (1 - K51))))), "-")</f>
        <v>60</v>
      </c>
      <c r="O51" s="158">
        <f>IFERROR(IF(K51 = 1, "Completed module", IF(((50 - J51) / (1 - K51)) &gt; 100, "Unattainable", IF(((50 - J51) / (1 - K51)) &lt; 0, "Already attained", ((50 - J51) / (1 - K51))))), "-")</f>
        <v>50</v>
      </c>
      <c r="P51" s="166">
        <f>IFERROR(IF(K51 = 1, "Completed module", IF(((40 - J51) / (1 - K51)) &gt; 100, "Unattainable", IF(((40 - J51) / (1 - K51)) &lt; 0, "Already attained", ((40 - J51) / (1 - K51))))), "-")</f>
        <v>40</v>
      </c>
    </row>
    <row r="52" spans="1:16">
      <c r="A52" s="205"/>
      <c r="B52" s="202"/>
      <c r="C52" s="191"/>
      <c r="D52" s="299"/>
      <c r="E52" s="192"/>
      <c r="F52" s="193" t="s">
        <v>199</v>
      </c>
      <c r="G52" s="213">
        <v>0.1</v>
      </c>
      <c r="H52" s="193" t="s">
        <v>328</v>
      </c>
      <c r="I52" s="185"/>
      <c r="J52" s="148"/>
      <c r="K52" s="148"/>
      <c r="L52" s="148"/>
      <c r="M52" s="148"/>
      <c r="N52" s="148"/>
      <c r="O52" s="148"/>
      <c r="P52" s="167"/>
    </row>
    <row r="53" spans="1:16">
      <c r="A53" s="205"/>
      <c r="B53" s="202"/>
      <c r="C53" s="191"/>
      <c r="D53" s="299"/>
      <c r="E53" s="192"/>
      <c r="F53" s="193" t="s">
        <v>199</v>
      </c>
      <c r="G53" s="213">
        <v>0.1</v>
      </c>
      <c r="H53" s="193" t="s">
        <v>329</v>
      </c>
      <c r="I53" s="185"/>
      <c r="J53" s="148"/>
      <c r="K53" s="148"/>
      <c r="L53" s="148"/>
      <c r="M53" s="148"/>
      <c r="N53" s="148"/>
      <c r="O53" s="148"/>
      <c r="P53" s="167"/>
    </row>
    <row r="54" spans="1:16">
      <c r="A54" s="205"/>
      <c r="B54" s="202"/>
      <c r="C54" s="191"/>
      <c r="D54" s="299"/>
      <c r="E54" s="192"/>
      <c r="F54" s="193" t="s">
        <v>201</v>
      </c>
      <c r="G54" s="213">
        <v>0.4</v>
      </c>
      <c r="H54" s="193" t="s">
        <v>330</v>
      </c>
      <c r="I54" s="185"/>
      <c r="J54" s="148"/>
      <c r="K54" s="148"/>
      <c r="L54" s="148"/>
      <c r="M54" s="148"/>
      <c r="N54" s="148"/>
      <c r="O54" s="148"/>
      <c r="P54" s="167"/>
    </row>
    <row r="55" spans="1:16" ht="13.8" thickBot="1">
      <c r="A55" s="207"/>
      <c r="B55" s="208"/>
      <c r="C55" s="209"/>
      <c r="D55" s="301"/>
      <c r="E55" s="210"/>
      <c r="F55" s="211" t="s">
        <v>199</v>
      </c>
      <c r="G55" s="216">
        <v>0.1</v>
      </c>
      <c r="H55" s="211" t="s">
        <v>331</v>
      </c>
      <c r="I55" s="212"/>
      <c r="J55" s="183"/>
      <c r="K55" s="183"/>
      <c r="L55" s="183"/>
      <c r="M55" s="183"/>
      <c r="N55" s="183"/>
      <c r="O55" s="183"/>
      <c r="P55" s="184"/>
    </row>
    <row r="56" spans="1:16" ht="13.8" thickTop="1">
      <c r="A56" s="204" t="s">
        <v>307</v>
      </c>
      <c r="B56" s="201" t="s">
        <v>308</v>
      </c>
      <c r="C56" s="194">
        <v>5</v>
      </c>
      <c r="D56" s="300">
        <v>9.0999999999999998E-2</v>
      </c>
      <c r="E56" s="195">
        <v>0.4</v>
      </c>
      <c r="F56" s="196" t="s">
        <v>150</v>
      </c>
      <c r="G56" s="214">
        <v>0.8</v>
      </c>
      <c r="H56" s="196" t="s">
        <v>209</v>
      </c>
      <c r="I56" s="186"/>
      <c r="J56" s="158">
        <f>IF(G56=1, I56, SUMPRODUCT(I56:I57, G56:G57))</f>
        <v>0</v>
      </c>
      <c r="K56" s="158">
        <f>SUMIF(I56:I57, "&lt;&gt;", G56:G57) / SUMIF(G56:G57, "&lt;&gt;")</f>
        <v>0</v>
      </c>
      <c r="L56" s="158" t="str">
        <f>IFERROR(J56/K56, "No grades yet")</f>
        <v>No grades yet</v>
      </c>
      <c r="M56" s="158">
        <f>IFERROR(IF(K56 = 1, "Completed module", IF(((70 - J56) / (1 - K56)) &gt; 100, "Unattainable", IF(((70 - J56) / (1 - K56)) &lt; 0, "Already attained", ((70 - J56) / (1 - K56))))), "-")</f>
        <v>70</v>
      </c>
      <c r="N56" s="158">
        <f>IFERROR(IF(K56 = 1, "Completed module", IF(((60 - J56) / (1 - K56)) &gt; 100, "Unattainable", IF(((60 - J56) / (1 - K56)) &lt; 0, "Already attained", ((60 - J56) / (1 - K56))))), "-")</f>
        <v>60</v>
      </c>
      <c r="O56" s="158">
        <f>IFERROR(IF(K56 = 1, "Completed module", IF(((50 - J56) / (1 - K56)) &gt; 100, "Unattainable", IF(((50 - J56) / (1 - K56)) &lt; 0, "Already attained", ((50 - J56) / (1 - K56))))), "-")</f>
        <v>50</v>
      </c>
      <c r="P56" s="166">
        <f>IFERROR(IF(K56 = 1, "Completed module", IF(((40 - J56) / (1 - K56)) &gt; 100, "Unattainable", IF(((40 - J56) / (1 - K56)) &lt; 0, "Already attained", ((40 - J56) / (1 - K56))))), "-")</f>
        <v>40</v>
      </c>
    </row>
    <row r="57" spans="1:16" ht="13.8" thickBot="1">
      <c r="A57" s="207"/>
      <c r="B57" s="208"/>
      <c r="C57" s="209"/>
      <c r="D57" s="301"/>
      <c r="E57" s="210"/>
      <c r="F57" s="211" t="s">
        <v>233</v>
      </c>
      <c r="G57" s="216">
        <v>0.2</v>
      </c>
      <c r="H57" s="211" t="s">
        <v>233</v>
      </c>
      <c r="I57" s="212"/>
      <c r="J57" s="183"/>
      <c r="K57" s="183"/>
      <c r="L57" s="183"/>
      <c r="M57" s="183"/>
      <c r="N57" s="183"/>
      <c r="O57" s="183"/>
      <c r="P57" s="184"/>
    </row>
    <row r="58" spans="1:16" ht="13.8" thickTop="1">
      <c r="A58" s="204" t="s">
        <v>309</v>
      </c>
      <c r="B58" s="201" t="s">
        <v>310</v>
      </c>
      <c r="C58" s="194">
        <v>5</v>
      </c>
      <c r="D58" s="300">
        <v>9.0999999999999998E-2</v>
      </c>
      <c r="E58" s="195">
        <v>0.4</v>
      </c>
      <c r="F58" s="196" t="s">
        <v>150</v>
      </c>
      <c r="G58" s="214">
        <v>0.5</v>
      </c>
      <c r="H58" s="196" t="s">
        <v>209</v>
      </c>
      <c r="I58" s="186"/>
      <c r="J58" s="158">
        <f>IF(G58=1, I58, SUMPRODUCT(I58:I61, G58:G61))</f>
        <v>0</v>
      </c>
      <c r="K58" s="158">
        <f>SUMIF(I58:I61, "&lt;&gt;", G58:G61) / SUMIF(G58:G61, "&lt;&gt;")</f>
        <v>0</v>
      </c>
      <c r="L58" s="158" t="str">
        <f>IFERROR(J58/K58, "No grades yet")</f>
        <v>No grades yet</v>
      </c>
      <c r="M58" s="158">
        <f>IFERROR(IF(K58 = 1, "Completed module", IF(((70 - J58) / (1 - K58)) &gt; 100, "Unattainable", IF(((70 - J58) / (1 - K58)) &lt; 0, "Already attained", ((70 - J58) / (1 - K58))))), "-")</f>
        <v>70</v>
      </c>
      <c r="N58" s="158">
        <f>IFERROR(IF(K58 = 1, "Completed module", IF(((60 - J58) / (1 - K58)) &gt; 100, "Unattainable", IF(((60 - J58) / (1 - K58)) &lt; 0, "Already attained", ((60 - J58) / (1 - K58))))), "-")</f>
        <v>60</v>
      </c>
      <c r="O58" s="158">
        <f>IFERROR(IF(K58 = 1, "Completed module", IF(((50 - J58) / (1 - K58)) &gt; 100, "Unattainable", IF(((50 - J58) / (1 - K58)) &lt; 0, "Already attained", ((50 - J58) / (1 - K58))))), "-")</f>
        <v>50</v>
      </c>
      <c r="P58" s="166">
        <f>IFERROR(IF(K58 = 1, "Completed module", IF(((40 - J58) / (1 - K58)) &gt; 100, "Unattainable", IF(((40 - J58) / (1 - K58)) &lt; 0, "Already attained", ((40 - J58) / (1 - K58))))), "-")</f>
        <v>40</v>
      </c>
    </row>
    <row r="59" spans="1:16">
      <c r="A59" s="205"/>
      <c r="B59" s="202"/>
      <c r="C59" s="191"/>
      <c r="D59" s="299"/>
      <c r="E59" s="192"/>
      <c r="F59" s="193" t="s">
        <v>191</v>
      </c>
      <c r="G59" s="213">
        <v>0.15</v>
      </c>
      <c r="H59" s="193" t="s">
        <v>311</v>
      </c>
      <c r="I59" s="185"/>
      <c r="J59" s="148"/>
      <c r="K59" s="148"/>
      <c r="L59" s="148"/>
      <c r="M59" s="148"/>
      <c r="N59" s="148"/>
      <c r="O59" s="148"/>
      <c r="P59" s="167"/>
    </row>
    <row r="60" spans="1:16">
      <c r="A60" s="205"/>
      <c r="B60" s="202"/>
      <c r="C60" s="191"/>
      <c r="D60" s="299"/>
      <c r="E60" s="192"/>
      <c r="F60" s="193" t="s">
        <v>191</v>
      </c>
      <c r="G60" s="213">
        <v>0.15</v>
      </c>
      <c r="H60" s="193" t="s">
        <v>312</v>
      </c>
      <c r="I60" s="185"/>
      <c r="J60" s="148"/>
      <c r="K60" s="148"/>
      <c r="L60" s="148"/>
      <c r="M60" s="148"/>
      <c r="N60" s="148"/>
      <c r="O60" s="148"/>
      <c r="P60" s="167"/>
    </row>
    <row r="61" spans="1:16" ht="13.8" thickBot="1">
      <c r="A61" s="207"/>
      <c r="B61" s="208"/>
      <c r="C61" s="209"/>
      <c r="D61" s="301"/>
      <c r="E61" s="210"/>
      <c r="F61" s="211" t="s">
        <v>233</v>
      </c>
      <c r="G61" s="216">
        <v>0.2</v>
      </c>
      <c r="H61" s="211" t="s">
        <v>233</v>
      </c>
      <c r="I61" s="212"/>
      <c r="J61" s="183"/>
      <c r="K61" s="183"/>
      <c r="L61" s="183"/>
      <c r="M61" s="183"/>
      <c r="N61" s="183"/>
      <c r="O61" s="183"/>
      <c r="P61" s="184"/>
    </row>
    <row r="62" spans="1:16" ht="23.4" customHeight="1" thickTop="1">
      <c r="A62" s="204" t="s">
        <v>313</v>
      </c>
      <c r="B62" s="201" t="s">
        <v>314</v>
      </c>
      <c r="C62" s="194">
        <v>5</v>
      </c>
      <c r="D62" s="300">
        <v>9.0999999999999998E-2</v>
      </c>
      <c r="E62" s="195">
        <v>0.4</v>
      </c>
      <c r="F62" s="196" t="s">
        <v>199</v>
      </c>
      <c r="G62" s="214">
        <v>0.7</v>
      </c>
      <c r="H62" s="196" t="s">
        <v>315</v>
      </c>
      <c r="I62" s="186"/>
      <c r="J62" s="158">
        <f>IF(G62=1, I62, SUMPRODUCT(I62:I64, G62:G64))</f>
        <v>0</v>
      </c>
      <c r="K62" s="158">
        <f>SUMIF(I62:I64, "&lt;&gt;", G62:G64) / SUMIF(G62:G64, "&lt;&gt;")</f>
        <v>0</v>
      </c>
      <c r="L62" s="158" t="str">
        <f>IFERROR(J62/K62, "No grades yet")</f>
        <v>No grades yet</v>
      </c>
      <c r="M62" s="158">
        <f>IFERROR(IF(K62 = 1, "Completed module", IF(((70 - J62) / (1 - K62)) &gt; 100, "Unattainable", IF(((70 - J62) / (1 - K62)) &lt; 0, "Already attained", ((70 - J62) / (1 - K62))))), "-")</f>
        <v>70</v>
      </c>
      <c r="N62" s="158">
        <f>IFERROR(IF(K62 = 1, "Completed module", IF(((60 - J62) / (1 - K62)) &gt; 100, "Unattainable", IF(((60 - J62) / (1 - K62)) &lt; 0, "Already attained", ((60 - J62) / (1 - K62))))), "-")</f>
        <v>60</v>
      </c>
      <c r="O62" s="158">
        <f>IFERROR(IF(K62 = 1, "Completed module", IF(((50 - J62) / (1 - K62)) &gt; 100, "Unattainable", IF(((50 - J62) / (1 - K62)) &lt; 0, "Already attained", ((50 - J62) / (1 - K62))))), "-")</f>
        <v>50</v>
      </c>
      <c r="P62" s="166">
        <f>IFERROR(IF(K62 = 1, "Completed module", IF(((40 - J62) / (1 - K62)) &gt; 100, "Unattainable", IF(((40 - J62) / (1 - K62)) &lt; 0, "Already attained", ((40 - J62) / (1 - K62))))), "-")</f>
        <v>40</v>
      </c>
    </row>
    <row r="63" spans="1:16">
      <c r="A63" s="205"/>
      <c r="B63" s="202"/>
      <c r="C63" s="191"/>
      <c r="D63" s="299"/>
      <c r="E63" s="192"/>
      <c r="F63" s="193" t="s">
        <v>188</v>
      </c>
      <c r="G63" s="213">
        <v>0.15</v>
      </c>
      <c r="H63" s="193" t="s">
        <v>316</v>
      </c>
      <c r="I63" s="185"/>
      <c r="J63" s="148"/>
      <c r="K63" s="148"/>
      <c r="L63" s="148"/>
      <c r="M63" s="148"/>
      <c r="N63" s="148"/>
      <c r="O63" s="148"/>
      <c r="P63" s="167"/>
    </row>
    <row r="64" spans="1:16" ht="13.8" thickBot="1">
      <c r="A64" s="207"/>
      <c r="B64" s="208"/>
      <c r="C64" s="209"/>
      <c r="D64" s="301"/>
      <c r="E64" s="210"/>
      <c r="F64" s="211" t="s">
        <v>201</v>
      </c>
      <c r="G64" s="216">
        <v>0.15</v>
      </c>
      <c r="H64" s="211" t="s">
        <v>317</v>
      </c>
      <c r="I64" s="212"/>
      <c r="J64" s="183"/>
      <c r="K64" s="183"/>
      <c r="L64" s="183"/>
      <c r="M64" s="183"/>
      <c r="N64" s="183"/>
      <c r="O64" s="183"/>
      <c r="P64" s="184"/>
    </row>
    <row r="65" spans="1:16" ht="23.4" customHeight="1" thickTop="1">
      <c r="A65" s="204" t="s">
        <v>332</v>
      </c>
      <c r="B65" s="201" t="s">
        <v>333</v>
      </c>
      <c r="C65" s="194">
        <v>5</v>
      </c>
      <c r="D65" s="300">
        <v>9.0999999999999998E-2</v>
      </c>
      <c r="E65" s="195">
        <v>0.4</v>
      </c>
      <c r="F65" s="196" t="s">
        <v>150</v>
      </c>
      <c r="G65" s="214">
        <v>0.67</v>
      </c>
      <c r="H65" s="196" t="s">
        <v>209</v>
      </c>
      <c r="I65" s="186"/>
      <c r="J65" s="158">
        <f>IF(G65=1, I65, SUMPRODUCT(I65:I66, G65:G66))</f>
        <v>0</v>
      </c>
      <c r="K65" s="158">
        <f>SUMIF(I65:I66, "&lt;&gt;", G65:G66) / SUMIF(G65:G66, "&lt;&gt;")</f>
        <v>0</v>
      </c>
      <c r="L65" s="158" t="str">
        <f>IFERROR(J65/K65, "No grades yet")</f>
        <v>No grades yet</v>
      </c>
      <c r="M65" s="158">
        <f>IFERROR(IF(K65 = 1, "Completed module", IF(((70 - J65) / (1 - K65)) &gt; 100, "Unattainable", IF(((70 - J65) / (1 - K65)) &lt; 0, "Already attained", ((70 - J65) / (1 - K65))))), "-")</f>
        <v>70</v>
      </c>
      <c r="N65" s="158">
        <f>IFERROR(IF(K65 = 1, "Completed module", IF(((60 - J65) / (1 - K65)) &gt; 100, "Unattainable", IF(((60 - J65) / (1 - K65)) &lt; 0, "Already attained", ((60 - J65) / (1 - K65))))), "-")</f>
        <v>60</v>
      </c>
      <c r="O65" s="158">
        <f>IFERROR(IF(K65 = 1, "Completed module", IF(((50 - J65) / (1 - K65)) &gt; 100, "Unattainable", IF(((50 - J65) / (1 - K65)) &lt; 0, "Already attained", ((50 - J65) / (1 - K65))))), "-")</f>
        <v>50</v>
      </c>
      <c r="P65" s="166">
        <f>IFERROR(IF(K65 = 1, "Completed module", IF(((40 - J65) / (1 - K65)) &gt; 100, "Unattainable", IF(((40 - J65) / (1 - K65)) &lt; 0, "Already attained", ((40 - J65) / (1 - K65))))), "-")</f>
        <v>40</v>
      </c>
    </row>
    <row r="66" spans="1:16" ht="13.8" thickBot="1">
      <c r="A66" s="207"/>
      <c r="B66" s="208"/>
      <c r="C66" s="209"/>
      <c r="D66" s="301"/>
      <c r="E66" s="210"/>
      <c r="F66" s="211" t="s">
        <v>199</v>
      </c>
      <c r="G66" s="216">
        <v>0.33</v>
      </c>
      <c r="H66" s="211" t="s">
        <v>334</v>
      </c>
      <c r="I66" s="212"/>
      <c r="J66" s="183"/>
      <c r="K66" s="183"/>
      <c r="L66" s="183"/>
      <c r="M66" s="183"/>
      <c r="N66" s="183"/>
      <c r="O66" s="183"/>
      <c r="P66" s="184"/>
    </row>
    <row r="67" spans="1:16" ht="23.4" customHeight="1" thickTop="1">
      <c r="A67" s="204" t="s">
        <v>335</v>
      </c>
      <c r="B67" s="201" t="s">
        <v>336</v>
      </c>
      <c r="C67" s="194">
        <v>5</v>
      </c>
      <c r="D67" s="300">
        <v>9.0999999999999998E-2</v>
      </c>
      <c r="E67" s="195">
        <v>0.4</v>
      </c>
      <c r="F67" s="196" t="s">
        <v>150</v>
      </c>
      <c r="G67" s="214">
        <v>0.6</v>
      </c>
      <c r="H67" s="196" t="s">
        <v>209</v>
      </c>
      <c r="I67" s="186"/>
      <c r="J67" s="158">
        <f>IF(G67=1, I67, SUMPRODUCT(I67:I68, G67:G68))</f>
        <v>0</v>
      </c>
      <c r="K67" s="158">
        <f>SUMIF(I67:I68, "&lt;&gt;", G67:G68) / SUMIF(G67:G68, "&lt;&gt;")</f>
        <v>0</v>
      </c>
      <c r="L67" s="158" t="str">
        <f>IFERROR(J67/K67, "No grades yet")</f>
        <v>No grades yet</v>
      </c>
      <c r="M67" s="158">
        <f>IFERROR(IF(K67 = 1, "Completed module", IF(((70 - J67) / (1 - K67)) &gt; 100, "Unattainable", IF(((70 - J67) / (1 - K67)) &lt; 0, "Already attained", ((70 - J67) / (1 - K67))))), "-")</f>
        <v>70</v>
      </c>
      <c r="N67" s="158">
        <f>IFERROR(IF(K67 = 1, "Completed module", IF(((60 - J67) / (1 - K67)) &gt; 100, "Unattainable", IF(((60 - J67) / (1 - K67)) &lt; 0, "Already attained", ((60 - J67) / (1 - K67))))), "-")</f>
        <v>60</v>
      </c>
      <c r="O67" s="158">
        <f>IFERROR(IF(K67 = 1, "Completed module", IF(((50 - J67) / (1 - K67)) &gt; 100, "Unattainable", IF(((50 - J67) / (1 - K67)) &lt; 0, "Already attained", ((50 - J67) / (1 - K67))))), "-")</f>
        <v>50</v>
      </c>
      <c r="P67" s="166">
        <f>IFERROR(IF(K67 = 1, "Completed module", IF(((40 - J67) / (1 - K67)) &gt; 100, "Unattainable", IF(((40 - J67) / (1 - K67)) &lt; 0, "Already attained", ((40 - J67) / (1 - K67))))), "-")</f>
        <v>40</v>
      </c>
    </row>
    <row r="68" spans="1:16" ht="13.8" thickBot="1">
      <c r="A68" s="207"/>
      <c r="B68" s="208"/>
      <c r="C68" s="209"/>
      <c r="D68" s="301"/>
      <c r="E68" s="210"/>
      <c r="F68" s="211" t="s">
        <v>337</v>
      </c>
      <c r="G68" s="216">
        <v>0.4</v>
      </c>
      <c r="H68" s="211" t="s">
        <v>338</v>
      </c>
      <c r="I68" s="212"/>
      <c r="J68" s="183"/>
      <c r="K68" s="183"/>
      <c r="L68" s="183"/>
      <c r="M68" s="183"/>
      <c r="N68" s="183"/>
      <c r="O68" s="183"/>
      <c r="P68" s="184"/>
    </row>
    <row r="69" spans="1:16" ht="13.8" thickTop="1">
      <c r="A69" s="204" t="s">
        <v>318</v>
      </c>
      <c r="B69" s="201" t="s">
        <v>319</v>
      </c>
      <c r="C69" s="194">
        <v>5</v>
      </c>
      <c r="D69" s="300">
        <v>9.0999999999999998E-2</v>
      </c>
      <c r="E69" s="195">
        <v>0.4</v>
      </c>
      <c r="F69" s="196" t="s">
        <v>150</v>
      </c>
      <c r="G69" s="214">
        <v>0.7</v>
      </c>
      <c r="H69" s="196" t="s">
        <v>209</v>
      </c>
      <c r="I69" s="186"/>
      <c r="J69" s="158">
        <f>IF(G69=1, I69, SUMPRODUCT(I69:I71, G69:G71))</f>
        <v>0</v>
      </c>
      <c r="K69" s="158">
        <f>SUMIF(I69:I71, "&lt;&gt;", G69:G71) / SUMIF(G69:G71, "&lt;&gt;")</f>
        <v>0</v>
      </c>
      <c r="L69" s="158" t="str">
        <f>IFERROR(J69/K69, "No grades yet")</f>
        <v>No grades yet</v>
      </c>
      <c r="M69" s="158">
        <f>IFERROR(IF(K69 = 1, "Completed module", IF(((70 - J69) / (1 - K69)) &gt; 100, "Unattainable", IF(((70 - J69) / (1 - K69)) &lt; 0, "Already attained", ((70 - J69) / (1 - K69))))), "-")</f>
        <v>70</v>
      </c>
      <c r="N69" s="158">
        <f>IFERROR(IF(K69 = 1, "Completed module", IF(((60 - J69) / (1 - K69)) &gt; 100, "Unattainable", IF(((60 - J69) / (1 - K69)) &lt; 0, "Already attained", ((60 - J69) / (1 - K69))))), "-")</f>
        <v>60</v>
      </c>
      <c r="O69" s="158">
        <f>IFERROR(IF(K69 = 1, "Completed module", IF(((50 - J69) / (1 - K69)) &gt; 100, "Unattainable", IF(((50 - J69) / (1 - K69)) &lt; 0, "Already attained", ((50 - J69) / (1 - K69))))), "-")</f>
        <v>50</v>
      </c>
      <c r="P69" s="166">
        <f>IFERROR(IF(K69 = 1, "Completed module", IF(((40 - J69) / (1 - K69)) &gt; 100, "Unattainable", IF(((40 - J69) / (1 - K69)) &lt; 0, "Already attained", ((40 - J69) / (1 - K69))))), "-")</f>
        <v>40</v>
      </c>
    </row>
    <row r="70" spans="1:16">
      <c r="A70" s="205"/>
      <c r="B70" s="202"/>
      <c r="C70" s="191"/>
      <c r="D70" s="299"/>
      <c r="E70" s="192"/>
      <c r="F70" s="193" t="s">
        <v>191</v>
      </c>
      <c r="G70" s="213">
        <v>0.15</v>
      </c>
      <c r="H70" s="193" t="s">
        <v>320</v>
      </c>
      <c r="I70" s="185"/>
      <c r="J70" s="148"/>
      <c r="K70" s="148"/>
      <c r="L70" s="148"/>
      <c r="M70" s="148"/>
      <c r="N70" s="148"/>
      <c r="O70" s="148"/>
      <c r="P70" s="167"/>
    </row>
    <row r="71" spans="1:16" ht="13.8" thickBot="1">
      <c r="A71" s="207"/>
      <c r="B71" s="208"/>
      <c r="C71" s="209"/>
      <c r="D71" s="301"/>
      <c r="E71" s="210"/>
      <c r="F71" s="211" t="s">
        <v>191</v>
      </c>
      <c r="G71" s="216">
        <v>0.15</v>
      </c>
      <c r="H71" s="211" t="s">
        <v>321</v>
      </c>
      <c r="I71" s="212"/>
      <c r="J71" s="183"/>
      <c r="K71" s="183"/>
      <c r="L71" s="183"/>
      <c r="M71" s="183"/>
      <c r="N71" s="183"/>
      <c r="O71" s="183"/>
      <c r="P71" s="184"/>
    </row>
    <row r="72" spans="1:16" ht="23.4" customHeight="1" thickTop="1">
      <c r="A72" s="204" t="s">
        <v>339</v>
      </c>
      <c r="B72" s="201" t="s">
        <v>340</v>
      </c>
      <c r="C72" s="194">
        <v>5</v>
      </c>
      <c r="D72" s="300">
        <v>9.0999999999999998E-2</v>
      </c>
      <c r="E72" s="195">
        <v>0.5</v>
      </c>
      <c r="F72" s="196" t="s">
        <v>199</v>
      </c>
      <c r="G72" s="214">
        <v>0.3</v>
      </c>
      <c r="H72" s="196" t="s">
        <v>341</v>
      </c>
      <c r="I72" s="186"/>
      <c r="J72" s="158">
        <f>IF(G72=1, I72, SUMPRODUCT(I72:I75, G72:G75))</f>
        <v>0</v>
      </c>
      <c r="K72" s="158">
        <f>SUMIF(I72:I75, "&lt;&gt;", G72:G75) / SUMIF(G72:G75, "&lt;&gt;")</f>
        <v>0</v>
      </c>
      <c r="L72" s="158" t="str">
        <f>IFERROR(J72/K72, "No grades yet")</f>
        <v>No grades yet</v>
      </c>
      <c r="M72" s="158">
        <f>IFERROR(IF(K72 = 1, "Completed module", IF(((70 - J72) / (1 - K72)) &gt; 100, "Unattainable", IF(((70 - J72) / (1 - K72)) &lt; 0, "Already attained", ((70 - J72) / (1 - K72))))), "-")</f>
        <v>70</v>
      </c>
      <c r="N72" s="158">
        <f>IFERROR(IF(K72 = 1, "Completed module", IF(((60 - J72) / (1 - K72)) &gt; 100, "Unattainable", IF(((60 - J72) / (1 - K72)) &lt; 0, "Already attained", ((60 - J72) / (1 - K72))))), "-")</f>
        <v>60</v>
      </c>
      <c r="O72" s="158">
        <f>IFERROR(IF(K72 = 1, "Completed module", IF(((50 - J72) / (1 - K72)) &gt; 100, "Unattainable", IF(((50 - J72) / (1 - K72)) &lt; 0, "Already attained", ((50 - J72) / (1 - K72))))), "-")</f>
        <v>50</v>
      </c>
      <c r="P72" s="166">
        <f>IFERROR(IF(K72 = 1, "Completed module", IF(((40 - J72) / (1 - K72)) &gt; 100, "Unattainable", IF(((40 - J72) / (1 - K72)) &lt; 0, "Already attained", ((40 - J72) / (1 - K72))))), "-")</f>
        <v>40</v>
      </c>
    </row>
    <row r="73" spans="1:16">
      <c r="A73" s="205"/>
      <c r="B73" s="202"/>
      <c r="C73" s="191"/>
      <c r="D73" s="299"/>
      <c r="E73" s="192"/>
      <c r="F73" s="193" t="s">
        <v>251</v>
      </c>
      <c r="G73" s="213">
        <v>0.2</v>
      </c>
      <c r="H73" s="193" t="s">
        <v>342</v>
      </c>
      <c r="I73" s="185"/>
      <c r="J73" s="148"/>
      <c r="K73" s="148"/>
      <c r="L73" s="148"/>
      <c r="M73" s="148"/>
      <c r="N73" s="148"/>
      <c r="O73" s="148"/>
      <c r="P73" s="167"/>
    </row>
    <row r="74" spans="1:16">
      <c r="A74" s="205"/>
      <c r="B74" s="202"/>
      <c r="C74" s="191"/>
      <c r="D74" s="299"/>
      <c r="E74" s="192"/>
      <c r="F74" s="193" t="s">
        <v>201</v>
      </c>
      <c r="G74" s="213">
        <v>0.2</v>
      </c>
      <c r="H74" s="193" t="s">
        <v>343</v>
      </c>
      <c r="I74" s="185"/>
      <c r="J74" s="148"/>
      <c r="K74" s="148"/>
      <c r="L74" s="148"/>
      <c r="M74" s="148"/>
      <c r="N74" s="148"/>
      <c r="O74" s="148"/>
      <c r="P74" s="167"/>
    </row>
    <row r="75" spans="1:16" ht="13.8" thickBot="1">
      <c r="A75" s="207"/>
      <c r="B75" s="208"/>
      <c r="C75" s="209"/>
      <c r="D75" s="301"/>
      <c r="E75" s="210"/>
      <c r="F75" s="211" t="s">
        <v>199</v>
      </c>
      <c r="G75" s="216">
        <v>0.3</v>
      </c>
      <c r="H75" s="211" t="s">
        <v>344</v>
      </c>
      <c r="I75" s="212"/>
      <c r="J75" s="183"/>
      <c r="K75" s="183"/>
      <c r="L75" s="183"/>
      <c r="M75" s="183"/>
      <c r="N75" s="183"/>
      <c r="O75" s="183"/>
      <c r="P75" s="184"/>
    </row>
    <row r="76" spans="1:16" ht="13.8" thickTop="1">
      <c r="A76" s="204" t="s">
        <v>345</v>
      </c>
      <c r="B76" s="201" t="s">
        <v>346</v>
      </c>
      <c r="C76" s="194">
        <v>5</v>
      </c>
      <c r="D76" s="300">
        <v>9.0999999999999998E-2</v>
      </c>
      <c r="E76" s="195">
        <v>0.5</v>
      </c>
      <c r="F76" s="196" t="s">
        <v>201</v>
      </c>
      <c r="G76" s="214">
        <v>0.2</v>
      </c>
      <c r="H76" s="196" t="s">
        <v>347</v>
      </c>
      <c r="I76" s="186"/>
      <c r="J76" s="158">
        <f>IF(G76=1, I76, SUMPRODUCT(I76:I77, G76:G77))</f>
        <v>0</v>
      </c>
      <c r="K76" s="158">
        <f>SUMIF(I76:I77, "&lt;&gt;", G76:G77) / SUMIF(G76:G77, "&lt;&gt;")</f>
        <v>0</v>
      </c>
      <c r="L76" s="158" t="str">
        <f>IFERROR(J76/K76, "No grades yet")</f>
        <v>No grades yet</v>
      </c>
      <c r="M76" s="158">
        <f>IFERROR(IF(K76 = 1, "Completed module", IF(((70 - J76) / (1 - K76)) &gt; 100, "Unattainable", IF(((70 - J76) / (1 - K76)) &lt; 0, "Already attained", ((70 - J76) / (1 - K76))))), "-")</f>
        <v>70</v>
      </c>
      <c r="N76" s="158">
        <f>IFERROR(IF(K76 = 1, "Completed module", IF(((60 - J76) / (1 - K76)) &gt; 100, "Unattainable", IF(((60 - J76) / (1 - K76)) &lt; 0, "Already attained", ((60 - J76) / (1 - K76))))), "-")</f>
        <v>60</v>
      </c>
      <c r="O76" s="158">
        <f>IFERROR(IF(K76 = 1, "Completed module", IF(((50 - J76) / (1 - K76)) &gt; 100, "Unattainable", IF(((50 - J76) / (1 - K76)) &lt; 0, "Already attained", ((50 - J76) / (1 - K76))))), "-")</f>
        <v>50</v>
      </c>
      <c r="P76" s="166">
        <f>IFERROR(IF(K76 = 1, "Completed module", IF(((40 - J76) / (1 - K76)) &gt; 100, "Unattainable", IF(((40 - J76) / (1 - K76)) &lt; 0, "Already attained", ((40 - J76) / (1 - K76))))), "-")</f>
        <v>40</v>
      </c>
    </row>
    <row r="77" spans="1:16" ht="13.8" thickBot="1">
      <c r="A77" s="207"/>
      <c r="B77" s="208"/>
      <c r="C77" s="209"/>
      <c r="D77" s="301"/>
      <c r="E77" s="210"/>
      <c r="F77" s="211" t="s">
        <v>337</v>
      </c>
      <c r="G77" s="216">
        <v>0.8</v>
      </c>
      <c r="H77" s="211" t="s">
        <v>348</v>
      </c>
      <c r="I77" s="212"/>
      <c r="J77" s="183"/>
      <c r="K77" s="183"/>
      <c r="L77" s="183"/>
      <c r="M77" s="183"/>
      <c r="N77" s="183"/>
      <c r="O77" s="183"/>
      <c r="P77" s="184"/>
    </row>
    <row r="78" spans="1:16" ht="13.8" thickTop="1">
      <c r="A78" s="204" t="s">
        <v>322</v>
      </c>
      <c r="B78" s="201" t="s">
        <v>323</v>
      </c>
      <c r="C78" s="194">
        <v>5</v>
      </c>
      <c r="D78" s="300">
        <v>9.0999999999999998E-2</v>
      </c>
      <c r="E78" s="195">
        <v>0.4</v>
      </c>
      <c r="F78" s="196" t="s">
        <v>150</v>
      </c>
      <c r="G78" s="214">
        <v>0.75</v>
      </c>
      <c r="H78" s="196" t="s">
        <v>209</v>
      </c>
      <c r="I78" s="186"/>
      <c r="J78" s="158">
        <f>IF(G78=1, I78, SUMPRODUCT(I78:I79, G78:G79))</f>
        <v>0</v>
      </c>
      <c r="K78" s="158">
        <f>SUMIF(I78:I79, "&lt;&gt;", G78:G79) / SUMIF(G78:G79, "&lt;&gt;")</f>
        <v>0</v>
      </c>
      <c r="L78" s="158" t="str">
        <f>IFERROR(J78/K78, "No grades yet")</f>
        <v>No grades yet</v>
      </c>
      <c r="M78" s="158">
        <f>IFERROR(IF(K78 = 1, "Completed module", IF(((70 - J78) / (1 - K78)) &gt; 100, "Unattainable", IF(((70 - J78) / (1 - K78)) &lt; 0, "Already attained", ((70 - J78) / (1 - K78))))), "-")</f>
        <v>70</v>
      </c>
      <c r="N78" s="158">
        <f>IFERROR(IF(K78 = 1, "Completed module", IF(((60 - J78) / (1 - K78)) &gt; 100, "Unattainable", IF(((60 - J78) / (1 - K78)) &lt; 0, "Already attained", ((60 - J78) / (1 - K78))))), "-")</f>
        <v>60</v>
      </c>
      <c r="O78" s="158">
        <f>IFERROR(IF(K78 = 1, "Completed module", IF(((50 - J78) / (1 - K78)) &gt; 100, "Unattainable", IF(((50 - J78) / (1 - K78)) &lt; 0, "Already attained", ((50 - J78) / (1 - K78))))), "-")</f>
        <v>50</v>
      </c>
      <c r="P78" s="166">
        <f>IFERROR(IF(K78 = 1, "Completed module", IF(((40 - J78) / (1 - K78)) &gt; 100, "Unattainable", IF(((40 - J78) / (1 - K78)) &lt; 0, "Already attained", ((40 - J78) / (1 - K78))))), "-")</f>
        <v>40</v>
      </c>
    </row>
    <row r="79" spans="1:16" ht="13.8" thickBot="1">
      <c r="A79" s="207"/>
      <c r="B79" s="208"/>
      <c r="C79" s="209"/>
      <c r="D79" s="301"/>
      <c r="E79" s="210"/>
      <c r="F79" s="211" t="s">
        <v>233</v>
      </c>
      <c r="G79" s="216">
        <v>0.25</v>
      </c>
      <c r="H79" s="211" t="s">
        <v>324</v>
      </c>
      <c r="I79" s="212"/>
      <c r="J79" s="183"/>
      <c r="K79" s="183"/>
      <c r="L79" s="183"/>
      <c r="M79" s="183"/>
      <c r="N79" s="183"/>
      <c r="O79" s="183"/>
      <c r="P79" s="184"/>
    </row>
    <row r="80" spans="1:16" ht="22.8" customHeight="1" thickTop="1">
      <c r="A80" s="204" t="s">
        <v>339</v>
      </c>
      <c r="B80" s="201" t="s">
        <v>340</v>
      </c>
      <c r="C80" s="194">
        <v>5</v>
      </c>
      <c r="D80" s="300">
        <v>9.0999999999999998E-2</v>
      </c>
      <c r="E80" s="195">
        <v>0.5</v>
      </c>
      <c r="F80" s="196" t="s">
        <v>199</v>
      </c>
      <c r="G80" s="214">
        <v>0.3</v>
      </c>
      <c r="H80" s="196" t="s">
        <v>341</v>
      </c>
      <c r="I80" s="186"/>
      <c r="J80" s="158">
        <f>IF(G80=1, I80, SUMPRODUCT(I80:I83, G80:G83))</f>
        <v>0</v>
      </c>
      <c r="K80" s="158">
        <f>SUMIF(I80:I83, "&lt;&gt;", G80:G83) / SUMIF(G80:G83, "&lt;&gt;")</f>
        <v>0</v>
      </c>
      <c r="L80" s="158" t="str">
        <f>IFERROR(J80/K80, "No grades yet")</f>
        <v>No grades yet</v>
      </c>
      <c r="M80" s="158">
        <f>IFERROR(IF(K80 = 1, "Completed module", IF(((70 - J80) / (1 - K80)) &gt; 100, "Unattainable", IF(((70 - J80) / (1 - K80)) &lt; 0, "Already attained", ((70 - J80) / (1 - K80))))), "-")</f>
        <v>70</v>
      </c>
      <c r="N80" s="158">
        <f>IFERROR(IF(K80 = 1, "Completed module", IF(((60 - J80) / (1 - K80)) &gt; 100, "Unattainable", IF(((60 - J80) / (1 - K80)) &lt; 0, "Already attained", ((60 - J80) / (1 - K80))))), "-")</f>
        <v>60</v>
      </c>
      <c r="O80" s="158">
        <f>IFERROR(IF(K80 = 1, "Completed module", IF(((50 - J80) / (1 - K80)) &gt; 100, "Unattainable", IF(((50 - J80) / (1 - K80)) &lt; 0, "Already attained", ((50 - J80) / (1 - K80))))), "-")</f>
        <v>50</v>
      </c>
      <c r="P80" s="166">
        <f>IFERROR(IF(K80 = 1, "Completed module", IF(((40 - J80) / (1 - K80)) &gt; 100, "Unattainable", IF(((40 - J80) / (1 - K80)) &lt; 0, "Already attained", ((40 - J80) / (1 - K80))))), "-")</f>
        <v>40</v>
      </c>
    </row>
    <row r="81" spans="1:16">
      <c r="A81" s="205"/>
      <c r="B81" s="202"/>
      <c r="C81" s="191"/>
      <c r="D81" s="299"/>
      <c r="E81" s="192"/>
      <c r="F81" s="193" t="s">
        <v>251</v>
      </c>
      <c r="G81" s="213">
        <v>0.2</v>
      </c>
      <c r="H81" s="193" t="s">
        <v>342</v>
      </c>
      <c r="I81" s="185"/>
      <c r="J81" s="148"/>
      <c r="K81" s="148"/>
      <c r="L81" s="148"/>
      <c r="M81" s="148"/>
      <c r="N81" s="148"/>
      <c r="O81" s="148"/>
      <c r="P81" s="167"/>
    </row>
    <row r="82" spans="1:16">
      <c r="A82" s="205"/>
      <c r="B82" s="202"/>
      <c r="C82" s="191"/>
      <c r="D82" s="299"/>
      <c r="E82" s="192"/>
      <c r="F82" s="193" t="s">
        <v>201</v>
      </c>
      <c r="G82" s="213">
        <v>0.2</v>
      </c>
      <c r="H82" s="193" t="s">
        <v>343</v>
      </c>
      <c r="I82" s="185"/>
      <c r="J82" s="148"/>
      <c r="K82" s="148"/>
      <c r="L82" s="148"/>
      <c r="M82" s="148"/>
      <c r="N82" s="148"/>
      <c r="O82" s="148"/>
      <c r="P82" s="167"/>
    </row>
    <row r="83" spans="1:16" ht="13.8" thickBot="1">
      <c r="A83" s="207"/>
      <c r="B83" s="208"/>
      <c r="C83" s="209"/>
      <c r="D83" s="301"/>
      <c r="E83" s="210"/>
      <c r="F83" s="211" t="s">
        <v>199</v>
      </c>
      <c r="G83" s="216">
        <v>0.3</v>
      </c>
      <c r="H83" s="211" t="s">
        <v>344</v>
      </c>
      <c r="I83" s="212"/>
      <c r="J83" s="183"/>
      <c r="K83" s="183"/>
      <c r="L83" s="183"/>
      <c r="M83" s="183"/>
      <c r="N83" s="183"/>
      <c r="O83" s="183"/>
      <c r="P83" s="184"/>
    </row>
    <row r="84" spans="1:16" ht="13.8" thickTop="1">
      <c r="A84" s="204" t="s">
        <v>345</v>
      </c>
      <c r="B84" s="201" t="s">
        <v>346</v>
      </c>
      <c r="C84" s="194">
        <v>5</v>
      </c>
      <c r="D84" s="300">
        <v>9.0999999999999998E-2</v>
      </c>
      <c r="E84" s="195">
        <v>0.5</v>
      </c>
      <c r="F84" s="196" t="s">
        <v>201</v>
      </c>
      <c r="G84" s="214">
        <v>0.2</v>
      </c>
      <c r="H84" s="196" t="s">
        <v>347</v>
      </c>
      <c r="I84" s="186"/>
      <c r="J84" s="158">
        <f>IF(G84=1, I84, SUMPRODUCT(I84:I85, G84:G85))</f>
        <v>0</v>
      </c>
      <c r="K84" s="158">
        <f>SUMIF(I84:I85, "&lt;&gt;", G84:G85) / SUMIF(G84:G85, "&lt;&gt;")</f>
        <v>0</v>
      </c>
      <c r="L84" s="158" t="str">
        <f>IFERROR(J84/K84, "No grades yet")</f>
        <v>No grades yet</v>
      </c>
      <c r="M84" s="158">
        <f>IFERROR(IF(K84 = 1, "Completed module", IF(((70 - J84) / (1 - K84)) &gt; 100, "Unattainable", IF(((70 - J84) / (1 - K84)) &lt; 0, "Already attained", ((70 - J84) / (1 - K84))))), "-")</f>
        <v>70</v>
      </c>
      <c r="N84" s="158">
        <f>IFERROR(IF(K84 = 1, "Completed module", IF(((60 - J84) / (1 - K84)) &gt; 100, "Unattainable", IF(((60 - J84) / (1 - K84)) &lt; 0, "Already attained", ((60 - J84) / (1 - K84))))), "-")</f>
        <v>60</v>
      </c>
      <c r="O84" s="158">
        <f>IFERROR(IF(K84 = 1, "Completed module", IF(((50 - J84) / (1 - K84)) &gt; 100, "Unattainable", IF(((50 - J84) / (1 - K84)) &lt; 0, "Already attained", ((50 - J84) / (1 - K84))))), "-")</f>
        <v>50</v>
      </c>
      <c r="P84" s="166">
        <f>IFERROR(IF(K84 = 1, "Completed module", IF(((40 - J84) / (1 - K84)) &gt; 100, "Unattainable", IF(((40 - J84) / (1 - K84)) &lt; 0, "Already attained", ((40 - J84) / (1 - K84))))), "-")</f>
        <v>40</v>
      </c>
    </row>
    <row r="85" spans="1:16" ht="13.8" thickBot="1">
      <c r="A85" s="207"/>
      <c r="B85" s="208"/>
      <c r="C85" s="209"/>
      <c r="D85" s="301"/>
      <c r="E85" s="210"/>
      <c r="F85" s="211" t="s">
        <v>337</v>
      </c>
      <c r="G85" s="216">
        <v>0.8</v>
      </c>
      <c r="H85" s="211" t="s">
        <v>348</v>
      </c>
      <c r="I85" s="212"/>
      <c r="J85" s="183"/>
      <c r="K85" s="183"/>
      <c r="L85" s="183"/>
      <c r="M85" s="183"/>
      <c r="N85" s="183"/>
      <c r="O85" s="183"/>
      <c r="P85" s="184"/>
    </row>
    <row r="86" spans="1:16" ht="14.4" thickTop="1" thickBot="1">
      <c r="A86" s="227" t="s">
        <v>349</v>
      </c>
      <c r="B86" s="228" t="s">
        <v>350</v>
      </c>
      <c r="C86" s="229">
        <v>5</v>
      </c>
      <c r="D86" s="305">
        <v>9.0999999999999998E-2</v>
      </c>
      <c r="E86" s="230">
        <v>0.4</v>
      </c>
      <c r="F86" s="306" t="s">
        <v>351</v>
      </c>
      <c r="G86" s="307"/>
      <c r="H86" s="308"/>
      <c r="I86" s="233"/>
      <c r="J86" s="234" t="e">
        <f>IF(G86=1, I86, SUMPRODUCT(I86:I86, G86:G86))</f>
        <v>#VALUE!</v>
      </c>
      <c r="K86" s="234" t="e">
        <f>SUMIF(I86:I86, "&lt;&gt;", G86:G86) / SUMIF(G86:G86, "&lt;&gt;")</f>
        <v>#DIV/0!</v>
      </c>
      <c r="L86" s="234" t="str">
        <f>IFERROR(J86/K86, "No grades yet")</f>
        <v>No grades yet</v>
      </c>
      <c r="M86" s="234" t="str">
        <f>IFERROR(IF(K86 = 1, "Completed module", IF(((70 - J86) / (1 - K86)) &gt; 100, "Unattainable", IF(((70 - J86) / (1 - K86)) &lt; 0, "Already attained", ((70 - J86) / (1 - K86))))), "-")</f>
        <v>-</v>
      </c>
      <c r="N86" s="234" t="str">
        <f>IFERROR(IF(K86 = 1, "Completed module", IF(((60 - J86) / (1 - K86)) &gt; 100, "Unattainable", IF(((60 - J86) / (1 - K86)) &lt; 0, "Already attained", ((60 - J86) / (1 - K86))))), "-")</f>
        <v>-</v>
      </c>
      <c r="O86" s="234" t="str">
        <f>IFERROR(IF(K86 = 1, "Completed module", IF(((50 - J86) / (1 - K86)) &gt; 100, "Unattainable", IF(((50 - J86) / (1 - K86)) &lt; 0, "Already attained", ((50 - J86) / (1 - K86))))), "-")</f>
        <v>-</v>
      </c>
      <c r="P86" s="235" t="str">
        <f>IFERROR(IF(K86 = 1, "Completed module", IF(((40 - J86) / (1 - K86)) &gt; 100, "Unattainable", IF(((40 - J86) / (1 - K86)) &lt; 0, "Already attained", ((40 - J86) / (1 - K86))))), "-")</f>
        <v>-</v>
      </c>
    </row>
    <row r="87" spans="1:16" ht="27.6" thickTop="1" thickBot="1">
      <c r="A87" s="227" t="s">
        <v>352</v>
      </c>
      <c r="B87" s="228" t="s">
        <v>353</v>
      </c>
      <c r="C87" s="229">
        <v>5</v>
      </c>
      <c r="D87" s="305">
        <v>9.0999999999999998E-2</v>
      </c>
      <c r="E87" s="230">
        <v>0.4</v>
      </c>
      <c r="F87" s="306" t="s">
        <v>354</v>
      </c>
      <c r="G87" s="307"/>
      <c r="H87" s="308"/>
      <c r="I87" s="233"/>
      <c r="J87" s="234" t="e">
        <f>IF(G87=1, I87, SUMPRODUCT(I87:I87, G87:G87))</f>
        <v>#VALUE!</v>
      </c>
      <c r="K87" s="234" t="e">
        <f>SUMIF(I87:I87, "&lt;&gt;", G87:G87) / SUMIF(G87:G87, "&lt;&gt;")</f>
        <v>#DIV/0!</v>
      </c>
      <c r="L87" s="234" t="str">
        <f>IFERROR(J87/K87, "No grades yet")</f>
        <v>No grades yet</v>
      </c>
      <c r="M87" s="234" t="str">
        <f>IFERROR(IF(K87 = 1, "Completed module", IF(((70 - J87) / (1 - K87)) &gt; 100, "Unattainable", IF(((70 - J87) / (1 - K87)) &lt; 0, "Already attained", ((70 - J87) / (1 - K87))))), "-")</f>
        <v>-</v>
      </c>
      <c r="N87" s="234" t="str">
        <f>IFERROR(IF(K87 = 1, "Completed module", IF(((60 - J87) / (1 - K87)) &gt; 100, "Unattainable", IF(((60 - J87) / (1 - K87)) &lt; 0, "Already attained", ((60 - J87) / (1 - K87))))), "-")</f>
        <v>-</v>
      </c>
      <c r="O87" s="234" t="str">
        <f>IFERROR(IF(K87 = 1, "Completed module", IF(((50 - J87) / (1 - K87)) &gt; 100, "Unattainable", IF(((50 - J87) / (1 - K87)) &lt; 0, "Already attained", ((50 - J87) / (1 - K87))))), "-")</f>
        <v>-</v>
      </c>
      <c r="P87" s="235" t="str">
        <f>IFERROR(IF(K87 = 1, "Completed module", IF(((40 - J87) / (1 - K87)) &gt; 100, "Unattainable", IF(((40 - J87) / (1 - K87)) &lt; 0, "Already attained", ((40 - J87) / (1 - K87))))), "-")</f>
        <v>-</v>
      </c>
    </row>
    <row r="88" spans="1:16" ht="14.4" thickTop="1" thickBot="1">
      <c r="A88" s="227" t="s">
        <v>355</v>
      </c>
      <c r="B88" s="228" t="s">
        <v>356</v>
      </c>
      <c r="C88" s="229">
        <v>5</v>
      </c>
      <c r="D88" s="305">
        <v>9.0999999999999998E-2</v>
      </c>
      <c r="E88" s="230">
        <v>0.4</v>
      </c>
      <c r="F88" s="306" t="s">
        <v>354</v>
      </c>
      <c r="G88" s="307"/>
      <c r="H88" s="308"/>
      <c r="I88" s="233"/>
      <c r="J88" s="234" t="e">
        <f>IF(G88=1, I88, SUMPRODUCT(I88:I88, G88:G88))</f>
        <v>#VALUE!</v>
      </c>
      <c r="K88" s="234" t="e">
        <f>SUMIF(I88:I88, "&lt;&gt;", G88:G88) / SUMIF(G88:G88, "&lt;&gt;")</f>
        <v>#DIV/0!</v>
      </c>
      <c r="L88" s="234" t="str">
        <f>IFERROR(J88/K88, "No grades yet")</f>
        <v>No grades yet</v>
      </c>
      <c r="M88" s="234" t="str">
        <f>IFERROR(IF(K88 = 1, "Completed module", IF(((70 - J88) / (1 - K88)) &gt; 100, "Unattainable", IF(((70 - J88) / (1 - K88)) &lt; 0, "Already attained", ((70 - J88) / (1 - K88))))), "-")</f>
        <v>-</v>
      </c>
      <c r="N88" s="234" t="str">
        <f>IFERROR(IF(K88 = 1, "Completed module", IF(((60 - J88) / (1 - K88)) &gt; 100, "Unattainable", IF(((60 - J88) / (1 - K88)) &lt; 0, "Already attained", ((60 - J88) / (1 - K88))))), "-")</f>
        <v>-</v>
      </c>
      <c r="O88" s="234" t="str">
        <f>IFERROR(IF(K88 = 1, "Completed module", IF(((50 - J88) / (1 - K88)) &gt; 100, "Unattainable", IF(((50 - J88) / (1 - K88)) &lt; 0, "Already attained", ((50 - J88) / (1 - K88))))), "-")</f>
        <v>-</v>
      </c>
      <c r="P88" s="235" t="str">
        <f>IFERROR(IF(K88 = 1, "Completed module", IF(((40 - J88) / (1 - K88)) &gt; 100, "Unattainable", IF(((40 - J88) / (1 - K88)) &lt; 0, "Already attained", ((40 - J88) / (1 - K88))))), "-")</f>
        <v>-</v>
      </c>
    </row>
    <row r="89" spans="1:16" ht="14.4" thickTop="1" thickBot="1">
      <c r="A89" s="227" t="s">
        <v>357</v>
      </c>
      <c r="B89" s="228" t="s">
        <v>358</v>
      </c>
      <c r="C89" s="229">
        <v>5</v>
      </c>
      <c r="D89" s="305">
        <v>9.0999999999999998E-2</v>
      </c>
      <c r="E89" s="230">
        <v>0.4</v>
      </c>
      <c r="F89" s="306" t="s">
        <v>354</v>
      </c>
      <c r="G89" s="307"/>
      <c r="H89" s="308"/>
      <c r="I89" s="233"/>
      <c r="J89" s="234" t="e">
        <f>IF(G89=1, I89, SUMPRODUCT(I89:I89, G89:G89))</f>
        <v>#VALUE!</v>
      </c>
      <c r="K89" s="234" t="e">
        <f>SUMIF(I89:I89, "&lt;&gt;", G89:G89) / SUMIF(G89:G89, "&lt;&gt;")</f>
        <v>#DIV/0!</v>
      </c>
      <c r="L89" s="234" t="str">
        <f>IFERROR(J89/K89, "No grades yet")</f>
        <v>No grades yet</v>
      </c>
      <c r="M89" s="234" t="str">
        <f>IFERROR(IF(K89 = 1, "Completed module", IF(((70 - J89) / (1 - K89)) &gt; 100, "Unattainable", IF(((70 - J89) / (1 - K89)) &lt; 0, "Already attained", ((70 - J89) / (1 - K89))))), "-")</f>
        <v>-</v>
      </c>
      <c r="N89" s="234" t="str">
        <f>IFERROR(IF(K89 = 1, "Completed module", IF(((60 - J89) / (1 - K89)) &gt; 100, "Unattainable", IF(((60 - J89) / (1 - K89)) &lt; 0, "Already attained", ((60 - J89) / (1 - K89))))), "-")</f>
        <v>-</v>
      </c>
      <c r="O89" s="234" t="str">
        <f>IFERROR(IF(K89 = 1, "Completed module", IF(((50 - J89) / (1 - K89)) &gt; 100, "Unattainable", IF(((50 - J89) / (1 - K89)) &lt; 0, "Already attained", ((50 - J89) / (1 - K89))))), "-")</f>
        <v>-</v>
      </c>
      <c r="P89" s="235" t="str">
        <f>IFERROR(IF(K89 = 1, "Completed module", IF(((40 - J89) / (1 - K89)) &gt; 100, "Unattainable", IF(((40 - J89) / (1 - K89)) &lt; 0, "Already attained", ((40 - J89) / (1 - K89))))), "-")</f>
        <v>-</v>
      </c>
    </row>
    <row r="90" spans="1:16" ht="14.4" thickTop="1" thickBot="1">
      <c r="A90" s="227" t="s">
        <v>359</v>
      </c>
      <c r="B90" s="228" t="s">
        <v>360</v>
      </c>
      <c r="C90" s="229">
        <v>5</v>
      </c>
      <c r="D90" s="305">
        <v>9.0999999999999998E-2</v>
      </c>
      <c r="E90" s="230">
        <v>0.4</v>
      </c>
      <c r="F90" s="306" t="s">
        <v>354</v>
      </c>
      <c r="G90" s="307"/>
      <c r="H90" s="308"/>
      <c r="I90" s="233"/>
      <c r="J90" s="234" t="e">
        <f>IF(G90=1, I90, SUMPRODUCT(I90:I90, G90:G90))</f>
        <v>#VALUE!</v>
      </c>
      <c r="K90" s="234" t="e">
        <f>SUMIF(I90:I90, "&lt;&gt;", G90:G90) / SUMIF(G90:G90, "&lt;&gt;")</f>
        <v>#DIV/0!</v>
      </c>
      <c r="L90" s="234" t="str">
        <f>IFERROR(J90/K90, "No grades yet")</f>
        <v>No grades yet</v>
      </c>
      <c r="M90" s="234" t="str">
        <f>IFERROR(IF(K90 = 1, "Completed module", IF(((70 - J90) / (1 - K90)) &gt; 100, "Unattainable", IF(((70 - J90) / (1 - K90)) &lt; 0, "Already attained", ((70 - J90) / (1 - K90))))), "-")</f>
        <v>-</v>
      </c>
      <c r="N90" s="234" t="str">
        <f>IFERROR(IF(K90 = 1, "Completed module", IF(((60 - J90) / (1 - K90)) &gt; 100, "Unattainable", IF(((60 - J90) / (1 - K90)) &lt; 0, "Already attained", ((60 - J90) / (1 - K90))))), "-")</f>
        <v>-</v>
      </c>
      <c r="O90" s="234" t="str">
        <f>IFERROR(IF(K90 = 1, "Completed module", IF(((50 - J90) / (1 - K90)) &gt; 100, "Unattainable", IF(((50 - J90) / (1 - K90)) &lt; 0, "Already attained", ((50 - J90) / (1 - K90))))), "-")</f>
        <v>-</v>
      </c>
      <c r="P90" s="235" t="str">
        <f>IFERROR(IF(K90 = 1, "Completed module", IF(((40 - J90) / (1 - K90)) &gt; 100, "Unattainable", IF(((40 - J90) / (1 - K90)) &lt; 0, "Already attained", ((40 - J90) / (1 - K90))))), "-")</f>
        <v>-</v>
      </c>
    </row>
    <row r="91" spans="1:16" ht="14.4" thickTop="1" thickBot="1">
      <c r="A91" s="227" t="s">
        <v>361</v>
      </c>
      <c r="B91" s="228" t="s">
        <v>362</v>
      </c>
      <c r="C91" s="229">
        <v>5</v>
      </c>
      <c r="D91" s="305">
        <v>9.0999999999999998E-2</v>
      </c>
      <c r="E91" s="230">
        <v>0.4</v>
      </c>
      <c r="F91" s="306" t="s">
        <v>354</v>
      </c>
      <c r="G91" s="307"/>
      <c r="H91" s="308"/>
      <c r="I91" s="233"/>
      <c r="J91" s="234" t="e">
        <f>IF(G91=1, I91, SUMPRODUCT(I91:I91, G91:G91))</f>
        <v>#VALUE!</v>
      </c>
      <c r="K91" s="234" t="e">
        <f>SUMIF(I91:I91, "&lt;&gt;", G91:G91) / SUMIF(G91:G91, "&lt;&gt;")</f>
        <v>#DIV/0!</v>
      </c>
      <c r="L91" s="234" t="str">
        <f>IFERROR(J91/K91, "No grades yet")</f>
        <v>No grades yet</v>
      </c>
      <c r="M91" s="234" t="str">
        <f>IFERROR(IF(K91 = 1, "Completed module", IF(((70 - J91) / (1 - K91)) &gt; 100, "Unattainable", IF(((70 - J91) / (1 - K91)) &lt; 0, "Already attained", ((70 - J91) / (1 - K91))))), "-")</f>
        <v>-</v>
      </c>
      <c r="N91" s="234" t="str">
        <f>IFERROR(IF(K91 = 1, "Completed module", IF(((60 - J91) / (1 - K91)) &gt; 100, "Unattainable", IF(((60 - J91) / (1 - K91)) &lt; 0, "Already attained", ((60 - J91) / (1 - K91))))), "-")</f>
        <v>-</v>
      </c>
      <c r="O91" s="234" t="str">
        <f>IFERROR(IF(K91 = 1, "Completed module", IF(((50 - J91) / (1 - K91)) &gt; 100, "Unattainable", IF(((50 - J91) / (1 - K91)) &lt; 0, "Already attained", ((50 - J91) / (1 - K91))))), "-")</f>
        <v>-</v>
      </c>
      <c r="P91" s="235" t="str">
        <f>IFERROR(IF(K91 = 1, "Completed module", IF(((40 - J91) / (1 - K91)) &gt; 100, "Unattainable", IF(((40 - J91) / (1 - K91)) &lt; 0, "Already attained", ((40 - J91) / (1 - K91))))), "-")</f>
        <v>-</v>
      </c>
    </row>
    <row r="92" spans="1:16" ht="27.6" thickTop="1" thickBot="1">
      <c r="A92" s="227" t="s">
        <v>363</v>
      </c>
      <c r="B92" s="228" t="s">
        <v>364</v>
      </c>
      <c r="C92" s="229">
        <v>5</v>
      </c>
      <c r="D92" s="305">
        <v>9.0999999999999998E-2</v>
      </c>
      <c r="E92" s="230">
        <v>0.4</v>
      </c>
      <c r="F92" s="306" t="s">
        <v>365</v>
      </c>
      <c r="G92" s="307"/>
      <c r="H92" s="308"/>
      <c r="I92" s="233"/>
      <c r="J92" s="234" t="e">
        <f>IF(G92=1, I92, SUMPRODUCT(I92:I92, G92:G92))</f>
        <v>#VALUE!</v>
      </c>
      <c r="K92" s="234" t="e">
        <f>SUMIF(I92:I92, "&lt;&gt;", G92:G92) / SUMIF(G92:G92, "&lt;&gt;")</f>
        <v>#DIV/0!</v>
      </c>
      <c r="L92" s="234" t="str">
        <f>IFERROR(J92/K92, "No grades yet")</f>
        <v>No grades yet</v>
      </c>
      <c r="M92" s="234" t="str">
        <f>IFERROR(IF(K92 = 1, "Completed module", IF(((70 - J92) / (1 - K92)) &gt; 100, "Unattainable", IF(((70 - J92) / (1 - K92)) &lt; 0, "Already attained", ((70 - J92) / (1 - K92))))), "-")</f>
        <v>-</v>
      </c>
      <c r="N92" s="234" t="str">
        <f>IFERROR(IF(K92 = 1, "Completed module", IF(((60 - J92) / (1 - K92)) &gt; 100, "Unattainable", IF(((60 - J92) / (1 - K92)) &lt; 0, "Already attained", ((60 - J92) / (1 - K92))))), "-")</f>
        <v>-</v>
      </c>
      <c r="O92" s="234" t="str">
        <f>IFERROR(IF(K92 = 1, "Completed module", IF(((50 - J92) / (1 - K92)) &gt; 100, "Unattainable", IF(((50 - J92) / (1 - K92)) &lt; 0, "Already attained", ((50 - J92) / (1 - K92))))), "-")</f>
        <v>-</v>
      </c>
      <c r="P92" s="235" t="str">
        <f>IFERROR(IF(K92 = 1, "Completed module", IF(((40 - J92) / (1 - K92)) &gt; 100, "Unattainable", IF(((40 - J92) / (1 - K92)) &lt; 0, "Already attained", ((40 - J92) / (1 - K92))))), "-")</f>
        <v>-</v>
      </c>
    </row>
    <row r="93" spans="1:16" ht="27.6" thickTop="1" thickBot="1">
      <c r="A93" s="227" t="s">
        <v>366</v>
      </c>
      <c r="B93" s="228" t="s">
        <v>367</v>
      </c>
      <c r="C93" s="229">
        <v>5</v>
      </c>
      <c r="D93" s="305">
        <v>9.0999999999999998E-2</v>
      </c>
      <c r="E93" s="230">
        <v>0.4</v>
      </c>
      <c r="F93" s="306" t="s">
        <v>365</v>
      </c>
      <c r="G93" s="307"/>
      <c r="H93" s="308"/>
      <c r="I93" s="233"/>
      <c r="J93" s="234" t="e">
        <f>IF(G93=1, I93, SUMPRODUCT(I93:I93, G93:G93))</f>
        <v>#VALUE!</v>
      </c>
      <c r="K93" s="234" t="e">
        <f>SUMIF(I93:I93, "&lt;&gt;", G93:G93) / SUMIF(G93:G93, "&lt;&gt;")</f>
        <v>#DIV/0!</v>
      </c>
      <c r="L93" s="234" t="str">
        <f>IFERROR(J93/K93, "No grades yet")</f>
        <v>No grades yet</v>
      </c>
      <c r="M93" s="234" t="str">
        <f>IFERROR(IF(K93 = 1, "Completed module", IF(((70 - J93) / (1 - K93)) &gt; 100, "Unattainable", IF(((70 - J93) / (1 - K93)) &lt; 0, "Already attained", ((70 - J93) / (1 - K93))))), "-")</f>
        <v>-</v>
      </c>
      <c r="N93" s="234" t="str">
        <f>IFERROR(IF(K93 = 1, "Completed module", IF(((60 - J93) / (1 - K93)) &gt; 100, "Unattainable", IF(((60 - J93) / (1 - K93)) &lt; 0, "Already attained", ((60 - J93) / (1 - K93))))), "-")</f>
        <v>-</v>
      </c>
      <c r="O93" s="234" t="str">
        <f>IFERROR(IF(K93 = 1, "Completed module", IF(((50 - J93) / (1 - K93)) &gt; 100, "Unattainable", IF(((50 - J93) / (1 - K93)) &lt; 0, "Already attained", ((50 - J93) / (1 - K93))))), "-")</f>
        <v>-</v>
      </c>
      <c r="P93" s="235" t="str">
        <f>IFERROR(IF(K93 = 1, "Completed module", IF(((40 - J93) / (1 - K93)) &gt; 100, "Unattainable", IF(((40 - J93) / (1 - K93)) &lt; 0, "Already attained", ((40 - J93) / (1 - K93))))), "-")</f>
        <v>-</v>
      </c>
    </row>
    <row r="94" spans="1:16" ht="14.4" thickTop="1" thickBot="1">
      <c r="A94" s="226" t="s">
        <v>368</v>
      </c>
      <c r="B94" s="225" t="s">
        <v>369</v>
      </c>
      <c r="C94" s="218">
        <v>5</v>
      </c>
      <c r="D94" s="302">
        <v>9.0999999999999998E-2</v>
      </c>
      <c r="E94" s="219">
        <v>0.4</v>
      </c>
      <c r="F94" s="217" t="s">
        <v>365</v>
      </c>
      <c r="G94" s="303"/>
      <c r="H94" s="304"/>
      <c r="I94" s="222"/>
      <c r="J94" s="223" t="e">
        <f>IF(G94=1, I94, SUMPRODUCT(I94:I94, G94:G94))</f>
        <v>#VALUE!</v>
      </c>
      <c r="K94" s="223" t="e">
        <f>SUMIF(I94:I94, "&lt;&gt;", G94:G94) / SUMIF(G94:G94, "&lt;&gt;")</f>
        <v>#DIV/0!</v>
      </c>
      <c r="L94" s="223" t="str">
        <f>IFERROR(J94/K94, "No grades yet")</f>
        <v>No grades yet</v>
      </c>
      <c r="M94" s="223" t="str">
        <f>IFERROR(IF(K94 = 1, "Completed module", IF(((70 - J94) / (1 - K94)) &gt; 100, "Unattainable", IF(((70 - J94) / (1 - K94)) &lt; 0, "Already attained", ((70 - J94) / (1 - K94))))), "-")</f>
        <v>-</v>
      </c>
      <c r="N94" s="223" t="str">
        <f>IFERROR(IF(K94 = 1, "Completed module", IF(((60 - J94) / (1 - K94)) &gt; 100, "Unattainable", IF(((60 - J94) / (1 - K94)) &lt; 0, "Already attained", ((60 - J94) / (1 - K94))))), "-")</f>
        <v>-</v>
      </c>
      <c r="O94" s="223" t="str">
        <f>IFERROR(IF(K94 = 1, "Completed module", IF(((50 - J94) / (1 - K94)) &gt; 100, "Unattainable", IF(((50 - J94) / (1 - K94)) &lt; 0, "Already attained", ((50 - J94) / (1 - K94))))), "-")</f>
        <v>-</v>
      </c>
      <c r="P94" s="224" t="str">
        <f>IFERROR(IF(K94 = 1, "Completed module", IF(((40 - J94) / (1 - K94)) &gt; 100, "Unattainable", IF(((40 - J94) / (1 - K94)) &lt; 0, "Already attained", ((40 - J94) / (1 - K94))))), "-")</f>
        <v>-</v>
      </c>
    </row>
    <row r="95" spans="1:16" ht="13.8" thickTop="1"/>
    <row r="98" spans="4:4">
      <c r="D98" s="285"/>
    </row>
  </sheetData>
  <mergeCells count="315">
    <mergeCell ref="N84:N85"/>
    <mergeCell ref="O84:O85"/>
    <mergeCell ref="P84:P85"/>
    <mergeCell ref="N80:N83"/>
    <mergeCell ref="O80:O83"/>
    <mergeCell ref="P80:P83"/>
    <mergeCell ref="B78:B79"/>
    <mergeCell ref="C78:C79"/>
    <mergeCell ref="D78:D79"/>
    <mergeCell ref="E78:E79"/>
    <mergeCell ref="J78:J79"/>
    <mergeCell ref="K78:K79"/>
    <mergeCell ref="L78:L79"/>
    <mergeCell ref="M78:M79"/>
    <mergeCell ref="N78:N79"/>
    <mergeCell ref="O78:O79"/>
    <mergeCell ref="P78:P79"/>
    <mergeCell ref="A84:A85"/>
    <mergeCell ref="B84:B85"/>
    <mergeCell ref="C84:C85"/>
    <mergeCell ref="D84:D85"/>
    <mergeCell ref="E84:E85"/>
    <mergeCell ref="J84:J85"/>
    <mergeCell ref="K84:K85"/>
    <mergeCell ref="L84:L85"/>
    <mergeCell ref="M84:M85"/>
    <mergeCell ref="N72:N75"/>
    <mergeCell ref="O72:O75"/>
    <mergeCell ref="P72:P75"/>
    <mergeCell ref="B76:B77"/>
    <mergeCell ref="C76:C77"/>
    <mergeCell ref="D76:D77"/>
    <mergeCell ref="E76:E77"/>
    <mergeCell ref="J76:J77"/>
    <mergeCell ref="K76:K77"/>
    <mergeCell ref="L76:L77"/>
    <mergeCell ref="M76:M77"/>
    <mergeCell ref="N76:N77"/>
    <mergeCell ref="O76:O77"/>
    <mergeCell ref="P76:P77"/>
    <mergeCell ref="A80:A83"/>
    <mergeCell ref="B72:B75"/>
    <mergeCell ref="C72:C75"/>
    <mergeCell ref="D72:D75"/>
    <mergeCell ref="E72:E75"/>
    <mergeCell ref="J72:J75"/>
    <mergeCell ref="K72:K75"/>
    <mergeCell ref="L72:L75"/>
    <mergeCell ref="M72:M75"/>
    <mergeCell ref="B80:B83"/>
    <mergeCell ref="C80:C83"/>
    <mergeCell ref="D80:D83"/>
    <mergeCell ref="E80:E83"/>
    <mergeCell ref="J80:J83"/>
    <mergeCell ref="K80:K83"/>
    <mergeCell ref="L80:L83"/>
    <mergeCell ref="M80:M83"/>
    <mergeCell ref="A78:A79"/>
    <mergeCell ref="N67:N68"/>
    <mergeCell ref="O67:O68"/>
    <mergeCell ref="P67:P68"/>
    <mergeCell ref="B69:B71"/>
    <mergeCell ref="C69:C71"/>
    <mergeCell ref="D69:D71"/>
    <mergeCell ref="E69:E71"/>
    <mergeCell ref="J69:J71"/>
    <mergeCell ref="K69:K71"/>
    <mergeCell ref="L69:L71"/>
    <mergeCell ref="M69:M71"/>
    <mergeCell ref="N69:N71"/>
    <mergeCell ref="O69:O71"/>
    <mergeCell ref="P69:P71"/>
    <mergeCell ref="B67:B68"/>
    <mergeCell ref="C67:C68"/>
    <mergeCell ref="D67:D68"/>
    <mergeCell ref="E67:E68"/>
    <mergeCell ref="J67:J68"/>
    <mergeCell ref="B62:B64"/>
    <mergeCell ref="C62:C64"/>
    <mergeCell ref="D62:D64"/>
    <mergeCell ref="E62:E64"/>
    <mergeCell ref="J62:J64"/>
    <mergeCell ref="B65:B66"/>
    <mergeCell ref="C65:C66"/>
    <mergeCell ref="D65:D66"/>
    <mergeCell ref="E65:E66"/>
    <mergeCell ref="J65:J66"/>
    <mergeCell ref="N58:N61"/>
    <mergeCell ref="O58:O61"/>
    <mergeCell ref="P58:P61"/>
    <mergeCell ref="A62:A64"/>
    <mergeCell ref="A65:A66"/>
    <mergeCell ref="A67:A68"/>
    <mergeCell ref="A69:A71"/>
    <mergeCell ref="A72:A75"/>
    <mergeCell ref="A76:A77"/>
    <mergeCell ref="K62:K64"/>
    <mergeCell ref="L62:L64"/>
    <mergeCell ref="M62:M64"/>
    <mergeCell ref="N62:N64"/>
    <mergeCell ref="O62:O64"/>
    <mergeCell ref="P62:P64"/>
    <mergeCell ref="K65:K66"/>
    <mergeCell ref="L65:L66"/>
    <mergeCell ref="M65:M66"/>
    <mergeCell ref="N65:N66"/>
    <mergeCell ref="O65:O66"/>
    <mergeCell ref="P65:P66"/>
    <mergeCell ref="K67:K68"/>
    <mergeCell ref="L67:L68"/>
    <mergeCell ref="M67:M68"/>
    <mergeCell ref="A58:A61"/>
    <mergeCell ref="B58:B61"/>
    <mergeCell ref="C58:C61"/>
    <mergeCell ref="D58:D61"/>
    <mergeCell ref="E58:E61"/>
    <mergeCell ref="J58:J61"/>
    <mergeCell ref="K58:K61"/>
    <mergeCell ref="L58:L61"/>
    <mergeCell ref="M58:M61"/>
    <mergeCell ref="N51:N55"/>
    <mergeCell ref="O51:O55"/>
    <mergeCell ref="P51:P55"/>
    <mergeCell ref="A56:A57"/>
    <mergeCell ref="B56:B57"/>
    <mergeCell ref="C56:C57"/>
    <mergeCell ref="D56:D57"/>
    <mergeCell ref="E56:E57"/>
    <mergeCell ref="J56:J57"/>
    <mergeCell ref="K56:K57"/>
    <mergeCell ref="L56:L57"/>
    <mergeCell ref="M56:M57"/>
    <mergeCell ref="N56:N57"/>
    <mergeCell ref="O56:O57"/>
    <mergeCell ref="P56:P57"/>
    <mergeCell ref="A51:A55"/>
    <mergeCell ref="B51:B55"/>
    <mergeCell ref="C51:C55"/>
    <mergeCell ref="D51:D55"/>
    <mergeCell ref="E51:E55"/>
    <mergeCell ref="J51:J55"/>
    <mergeCell ref="K51:K55"/>
    <mergeCell ref="L51:L55"/>
    <mergeCell ref="M51:M55"/>
    <mergeCell ref="N45:N46"/>
    <mergeCell ref="O45:O46"/>
    <mergeCell ref="P45:P46"/>
    <mergeCell ref="A47:A50"/>
    <mergeCell ref="B47:B50"/>
    <mergeCell ref="C47:C50"/>
    <mergeCell ref="D47:D50"/>
    <mergeCell ref="E47:E50"/>
    <mergeCell ref="J47:J50"/>
    <mergeCell ref="K47:K50"/>
    <mergeCell ref="L47:L50"/>
    <mergeCell ref="M47:M50"/>
    <mergeCell ref="N47:N50"/>
    <mergeCell ref="O47:O50"/>
    <mergeCell ref="P47:P50"/>
    <mergeCell ref="A45:A46"/>
    <mergeCell ref="B45:B46"/>
    <mergeCell ref="C45:C46"/>
    <mergeCell ref="D45:D46"/>
    <mergeCell ref="E45:E46"/>
    <mergeCell ref="J45:J46"/>
    <mergeCell ref="K45:K46"/>
    <mergeCell ref="L45:L46"/>
    <mergeCell ref="M45:M46"/>
    <mergeCell ref="E35:E36"/>
    <mergeCell ref="J35:J36"/>
    <mergeCell ref="K35:K36"/>
    <mergeCell ref="L35:L36"/>
    <mergeCell ref="M35:M36"/>
    <mergeCell ref="N35:N36"/>
    <mergeCell ref="O35:O36"/>
    <mergeCell ref="P35:P36"/>
    <mergeCell ref="A41:A44"/>
    <mergeCell ref="B41:B44"/>
    <mergeCell ref="C41:C44"/>
    <mergeCell ref="D41:D44"/>
    <mergeCell ref="E41:E44"/>
    <mergeCell ref="J41:J44"/>
    <mergeCell ref="K41:K44"/>
    <mergeCell ref="L41:L44"/>
    <mergeCell ref="M41:M44"/>
    <mergeCell ref="N41:N44"/>
    <mergeCell ref="O41:O44"/>
    <mergeCell ref="P41:P44"/>
    <mergeCell ref="A35:A36"/>
    <mergeCell ref="B35:B36"/>
    <mergeCell ref="C35:C36"/>
    <mergeCell ref="D35:D36"/>
    <mergeCell ref="N29:N31"/>
    <mergeCell ref="O29:O31"/>
    <mergeCell ref="P29:P31"/>
    <mergeCell ref="A32:A34"/>
    <mergeCell ref="B32:B34"/>
    <mergeCell ref="C32:C34"/>
    <mergeCell ref="D32:D34"/>
    <mergeCell ref="E32:E34"/>
    <mergeCell ref="J32:J34"/>
    <mergeCell ref="K32:K34"/>
    <mergeCell ref="L32:L34"/>
    <mergeCell ref="M32:M34"/>
    <mergeCell ref="N32:N34"/>
    <mergeCell ref="O32:O34"/>
    <mergeCell ref="P32:P34"/>
    <mergeCell ref="A29:A31"/>
    <mergeCell ref="B29:B31"/>
    <mergeCell ref="C29:C31"/>
    <mergeCell ref="D29:D31"/>
    <mergeCell ref="E29:E31"/>
    <mergeCell ref="J29:J31"/>
    <mergeCell ref="K29:K31"/>
    <mergeCell ref="L29:L31"/>
    <mergeCell ref="M29:M31"/>
    <mergeCell ref="O23:O24"/>
    <mergeCell ref="P23:P24"/>
    <mergeCell ref="A25:A28"/>
    <mergeCell ref="B25:B28"/>
    <mergeCell ref="C25:C28"/>
    <mergeCell ref="D25:D28"/>
    <mergeCell ref="E25:E28"/>
    <mergeCell ref="J25:J28"/>
    <mergeCell ref="K25:K28"/>
    <mergeCell ref="L25:L28"/>
    <mergeCell ref="M25:M28"/>
    <mergeCell ref="N25:N28"/>
    <mergeCell ref="O25:O28"/>
    <mergeCell ref="P25:P28"/>
    <mergeCell ref="D23:D24"/>
    <mergeCell ref="E23:E24"/>
    <mergeCell ref="J23:J24"/>
    <mergeCell ref="K23:K24"/>
    <mergeCell ref="L23:L24"/>
    <mergeCell ref="M23:M24"/>
    <mergeCell ref="N23:N24"/>
    <mergeCell ref="K17:K18"/>
    <mergeCell ref="L17:L18"/>
    <mergeCell ref="M17:M18"/>
    <mergeCell ref="N17:N18"/>
    <mergeCell ref="O17:O18"/>
    <mergeCell ref="P17:P18"/>
    <mergeCell ref="A19:A22"/>
    <mergeCell ref="B19:B22"/>
    <mergeCell ref="C19:C22"/>
    <mergeCell ref="D19:D22"/>
    <mergeCell ref="E19:E22"/>
    <mergeCell ref="J19:J22"/>
    <mergeCell ref="K19:K22"/>
    <mergeCell ref="L19:L22"/>
    <mergeCell ref="M19:M22"/>
    <mergeCell ref="N19:N22"/>
    <mergeCell ref="O19:O22"/>
    <mergeCell ref="P19:P22"/>
    <mergeCell ref="O10:O12"/>
    <mergeCell ref="P10:P12"/>
    <mergeCell ref="A13:A16"/>
    <mergeCell ref="B13:B16"/>
    <mergeCell ref="C13:C16"/>
    <mergeCell ref="D13:D16"/>
    <mergeCell ref="E13:E16"/>
    <mergeCell ref="J13:J16"/>
    <mergeCell ref="K13:K16"/>
    <mergeCell ref="L13:L16"/>
    <mergeCell ref="M13:M16"/>
    <mergeCell ref="N13:N16"/>
    <mergeCell ref="O13:O16"/>
    <mergeCell ref="P13:P16"/>
    <mergeCell ref="K10:K12"/>
    <mergeCell ref="L10:L12"/>
    <mergeCell ref="M10:M12"/>
    <mergeCell ref="N10:N12"/>
    <mergeCell ref="O3:O7"/>
    <mergeCell ref="P3:P7"/>
    <mergeCell ref="A8:A9"/>
    <mergeCell ref="B8:B9"/>
    <mergeCell ref="C8:C9"/>
    <mergeCell ref="D8:D9"/>
    <mergeCell ref="E8:E9"/>
    <mergeCell ref="J8:J9"/>
    <mergeCell ref="K8:K9"/>
    <mergeCell ref="L8:L9"/>
    <mergeCell ref="M8:M9"/>
    <mergeCell ref="N8:N9"/>
    <mergeCell ref="O8:O9"/>
    <mergeCell ref="P8:P9"/>
    <mergeCell ref="B3:B7"/>
    <mergeCell ref="C3:C7"/>
    <mergeCell ref="D3:D7"/>
    <mergeCell ref="N3:N7"/>
    <mergeCell ref="F2:H2"/>
    <mergeCell ref="A39:B39"/>
    <mergeCell ref="F40:H40"/>
    <mergeCell ref="A3:A7"/>
    <mergeCell ref="E3:E7"/>
    <mergeCell ref="J3:J7"/>
    <mergeCell ref="K3:K7"/>
    <mergeCell ref="L3:L7"/>
    <mergeCell ref="M3:M7"/>
    <mergeCell ref="A10:A12"/>
    <mergeCell ref="B10:B12"/>
    <mergeCell ref="C10:C12"/>
    <mergeCell ref="D10:D12"/>
    <mergeCell ref="E10:E12"/>
    <mergeCell ref="J10:J12"/>
    <mergeCell ref="A17:A18"/>
    <mergeCell ref="B17:B18"/>
    <mergeCell ref="C17:C18"/>
    <mergeCell ref="D17:D18"/>
    <mergeCell ref="E17:E18"/>
    <mergeCell ref="J17:J18"/>
    <mergeCell ref="A23:A24"/>
    <mergeCell ref="B23:B24"/>
    <mergeCell ref="C23:C24"/>
  </mergeCells>
  <conditionalFormatting sqref="I8:I9">
    <cfRule type="expression" dxfId="3065" priority="15" stopIfTrue="1">
      <formula>ISBLANK(I8)</formula>
    </cfRule>
    <cfRule type="cellIs" dxfId="3064" priority="16" stopIfTrue="1" operator="equal">
      <formula>"No grades yet"</formula>
    </cfRule>
    <cfRule type="cellIs" dxfId="3063" priority="17" stopIfTrue="1" operator="greaterThanOrEqual">
      <formula>70</formula>
    </cfRule>
    <cfRule type="cellIs" dxfId="3062" priority="18" stopIfTrue="1" operator="between">
      <formula>60</formula>
      <formula>69.999</formula>
    </cfRule>
    <cfRule type="cellIs" dxfId="3061" priority="19" stopIfTrue="1" operator="between">
      <formula>50</formula>
      <formula>59.999</formula>
    </cfRule>
    <cfRule type="cellIs" dxfId="3060" priority="20" stopIfTrue="1" operator="between">
      <formula>40</formula>
      <formula>49.999</formula>
    </cfRule>
    <cfRule type="cellIs" dxfId="3059" priority="21" stopIfTrue="1" operator="lessThan">
      <formula>40</formula>
    </cfRule>
  </conditionalFormatting>
  <conditionalFormatting sqref="L8:L9">
    <cfRule type="expression" dxfId="3058" priority="22" stopIfTrue="1">
      <formula>ISBLANK(L8)</formula>
    </cfRule>
    <cfRule type="cellIs" dxfId="3057" priority="23" stopIfTrue="1" operator="equal">
      <formula>"No grades yet"</formula>
    </cfRule>
    <cfRule type="cellIs" dxfId="3056" priority="24" stopIfTrue="1" operator="greaterThanOrEqual">
      <formula>70</formula>
    </cfRule>
    <cfRule type="cellIs" dxfId="3055" priority="25" stopIfTrue="1" operator="between">
      <formula>60</formula>
      <formula>69.999</formula>
    </cfRule>
    <cfRule type="cellIs" dxfId="3054" priority="26" stopIfTrue="1" operator="between">
      <formula>50</formula>
      <formula>59.999</formula>
    </cfRule>
    <cfRule type="cellIs" dxfId="3053" priority="27" stopIfTrue="1" operator="between">
      <formula>40</formula>
      <formula>49.999</formula>
    </cfRule>
    <cfRule type="cellIs" dxfId="3052" priority="28" stopIfTrue="1" operator="lessThan">
      <formula>40</formula>
    </cfRule>
  </conditionalFormatting>
  <conditionalFormatting sqref="I10:I12">
    <cfRule type="expression" dxfId="3051" priority="29" stopIfTrue="1">
      <formula>ISBLANK(I10)</formula>
    </cfRule>
    <cfRule type="cellIs" dxfId="3050" priority="30" stopIfTrue="1" operator="equal">
      <formula>"No grades yet"</formula>
    </cfRule>
    <cfRule type="cellIs" dxfId="3049" priority="31" stopIfTrue="1" operator="greaterThanOrEqual">
      <formula>70</formula>
    </cfRule>
    <cfRule type="cellIs" dxfId="3048" priority="32" stopIfTrue="1" operator="between">
      <formula>60</formula>
      <formula>69.999</formula>
    </cfRule>
    <cfRule type="cellIs" dxfId="3047" priority="33" stopIfTrue="1" operator="between">
      <formula>50</formula>
      <formula>59.999</formula>
    </cfRule>
    <cfRule type="cellIs" dxfId="3046" priority="34" stopIfTrue="1" operator="between">
      <formula>40</formula>
      <formula>49.999</formula>
    </cfRule>
    <cfRule type="cellIs" dxfId="3045" priority="35" stopIfTrue="1" operator="lessThan">
      <formula>40</formula>
    </cfRule>
  </conditionalFormatting>
  <conditionalFormatting sqref="L10:L12">
    <cfRule type="expression" dxfId="3044" priority="36" stopIfTrue="1">
      <formula>ISBLANK(L10)</formula>
    </cfRule>
    <cfRule type="cellIs" dxfId="3043" priority="37" stopIfTrue="1" operator="equal">
      <formula>"No grades yet"</formula>
    </cfRule>
    <cfRule type="cellIs" dxfId="3042" priority="38" stopIfTrue="1" operator="greaterThanOrEqual">
      <formula>70</formula>
    </cfRule>
    <cfRule type="cellIs" dxfId="3041" priority="39" stopIfTrue="1" operator="between">
      <formula>60</formula>
      <formula>69.999</formula>
    </cfRule>
    <cfRule type="cellIs" dxfId="3040" priority="40" stopIfTrue="1" operator="between">
      <formula>50</formula>
      <formula>59.999</formula>
    </cfRule>
    <cfRule type="cellIs" dxfId="3039" priority="41" stopIfTrue="1" operator="between">
      <formula>40</formula>
      <formula>49.999</formula>
    </cfRule>
    <cfRule type="cellIs" dxfId="3038" priority="42" stopIfTrue="1" operator="lessThan">
      <formula>40</formula>
    </cfRule>
  </conditionalFormatting>
  <conditionalFormatting sqref="I25:I28">
    <cfRule type="expression" dxfId="2981" priority="113" stopIfTrue="1">
      <formula>ISBLANK(I25)</formula>
    </cfRule>
    <cfRule type="cellIs" dxfId="2980" priority="114" stopIfTrue="1" operator="equal">
      <formula>"No grades yet"</formula>
    </cfRule>
    <cfRule type="cellIs" dxfId="2979" priority="115" stopIfTrue="1" operator="greaterThanOrEqual">
      <formula>70</formula>
    </cfRule>
    <cfRule type="cellIs" dxfId="2978" priority="116" stopIfTrue="1" operator="between">
      <formula>60</formula>
      <formula>69.999</formula>
    </cfRule>
    <cfRule type="cellIs" dxfId="2977" priority="117" stopIfTrue="1" operator="between">
      <formula>50</formula>
      <formula>59.999</formula>
    </cfRule>
    <cfRule type="cellIs" dxfId="2976" priority="118" stopIfTrue="1" operator="between">
      <formula>40</formula>
      <formula>49.999</formula>
    </cfRule>
    <cfRule type="cellIs" dxfId="2975" priority="119" stopIfTrue="1" operator="lessThan">
      <formula>40</formula>
    </cfRule>
  </conditionalFormatting>
  <conditionalFormatting sqref="L25:L28">
    <cfRule type="expression" dxfId="2974" priority="120" stopIfTrue="1">
      <formula>ISBLANK(L25)</formula>
    </cfRule>
    <cfRule type="cellIs" dxfId="2973" priority="121" stopIfTrue="1" operator="equal">
      <formula>"No grades yet"</formula>
    </cfRule>
    <cfRule type="cellIs" dxfId="2972" priority="122" stopIfTrue="1" operator="greaterThanOrEqual">
      <formula>70</formula>
    </cfRule>
    <cfRule type="cellIs" dxfId="2971" priority="123" stopIfTrue="1" operator="between">
      <formula>60</formula>
      <formula>69.999</formula>
    </cfRule>
    <cfRule type="cellIs" dxfId="2970" priority="124" stopIfTrue="1" operator="between">
      <formula>50</formula>
      <formula>59.999</formula>
    </cfRule>
    <cfRule type="cellIs" dxfId="2969" priority="125" stopIfTrue="1" operator="between">
      <formula>40</formula>
      <formula>49.999</formula>
    </cfRule>
    <cfRule type="cellIs" dxfId="2968" priority="126" stopIfTrue="1" operator="lessThan">
      <formula>40</formula>
    </cfRule>
  </conditionalFormatting>
  <conditionalFormatting sqref="I35:I36">
    <cfRule type="expression" dxfId="2939" priority="155" stopIfTrue="1">
      <formula>ISBLANK(I35)</formula>
    </cfRule>
  </conditionalFormatting>
  <conditionalFormatting sqref="I35:I36">
    <cfRule type="cellIs" dxfId="2938" priority="156" stopIfTrue="1" operator="equal">
      <formula>"No grades yet"</formula>
    </cfRule>
  </conditionalFormatting>
  <conditionalFormatting sqref="I35:I36">
    <cfRule type="cellIs" dxfId="2937" priority="157" stopIfTrue="1" operator="greaterThanOrEqual">
      <formula>70</formula>
    </cfRule>
  </conditionalFormatting>
  <conditionalFormatting sqref="I35:I36">
    <cfRule type="cellIs" dxfId="2936" priority="158" stopIfTrue="1" operator="between">
      <formula>60</formula>
      <formula>69.999</formula>
    </cfRule>
  </conditionalFormatting>
  <conditionalFormatting sqref="I35:I36">
    <cfRule type="cellIs" dxfId="2935" priority="159" stopIfTrue="1" operator="between">
      <formula>50</formula>
      <formula>59.999</formula>
    </cfRule>
  </conditionalFormatting>
  <conditionalFormatting sqref="I35:I36">
    <cfRule type="cellIs" dxfId="2934" priority="160" stopIfTrue="1" operator="between">
      <formula>40</formula>
      <formula>49.999</formula>
    </cfRule>
  </conditionalFormatting>
  <conditionalFormatting sqref="I35:I36">
    <cfRule type="cellIs" dxfId="2933" priority="161" stopIfTrue="1" operator="lessThan">
      <formula>40</formula>
    </cfRule>
  </conditionalFormatting>
  <conditionalFormatting sqref="L35:L36">
    <cfRule type="expression" dxfId="2932" priority="162" stopIfTrue="1">
      <formula>ISBLANK(L35)</formula>
    </cfRule>
  </conditionalFormatting>
  <conditionalFormatting sqref="L35:L36">
    <cfRule type="cellIs" dxfId="2931" priority="163" stopIfTrue="1" operator="equal">
      <formula>"No grades yet"</formula>
    </cfRule>
  </conditionalFormatting>
  <conditionalFormatting sqref="L35:L36">
    <cfRule type="cellIs" dxfId="2930" priority="164" stopIfTrue="1" operator="greaterThanOrEqual">
      <formula>70</formula>
    </cfRule>
  </conditionalFormatting>
  <conditionalFormatting sqref="L35:L36">
    <cfRule type="cellIs" dxfId="2929" priority="165" stopIfTrue="1" operator="between">
      <formula>60</formula>
      <formula>69.999</formula>
    </cfRule>
  </conditionalFormatting>
  <conditionalFormatting sqref="L35:L36">
    <cfRule type="cellIs" dxfId="2928" priority="166" stopIfTrue="1" operator="between">
      <formula>50</formula>
      <formula>59.999</formula>
    </cfRule>
  </conditionalFormatting>
  <conditionalFormatting sqref="L35:L36">
    <cfRule type="cellIs" dxfId="2927" priority="167" stopIfTrue="1" operator="between">
      <formula>40</formula>
      <formula>49.999</formula>
    </cfRule>
  </conditionalFormatting>
  <conditionalFormatting sqref="L35:L36">
    <cfRule type="cellIs" dxfId="2926" priority="168" stopIfTrue="1" operator="lessThan">
      <formula>40</formula>
    </cfRule>
  </conditionalFormatting>
  <conditionalFormatting sqref="I37">
    <cfRule type="expression" dxfId="2589" priority="575" stopIfTrue="1">
      <formula>ISBLANK(I37)</formula>
    </cfRule>
  </conditionalFormatting>
  <conditionalFormatting sqref="I37">
    <cfRule type="cellIs" dxfId="2588" priority="576" stopIfTrue="1" operator="equal">
      <formula>"No grades yet"</formula>
    </cfRule>
  </conditionalFormatting>
  <conditionalFormatting sqref="I37">
    <cfRule type="cellIs" dxfId="2587" priority="577" stopIfTrue="1" operator="greaterThanOrEqual">
      <formula>70</formula>
    </cfRule>
  </conditionalFormatting>
  <conditionalFormatting sqref="I37">
    <cfRule type="cellIs" dxfId="2586" priority="578" stopIfTrue="1" operator="between">
      <formula>60</formula>
      <formula>69.999</formula>
    </cfRule>
  </conditionalFormatting>
  <conditionalFormatting sqref="I37">
    <cfRule type="cellIs" dxfId="2585" priority="579" stopIfTrue="1" operator="between">
      <formula>50</formula>
      <formula>59.999</formula>
    </cfRule>
  </conditionalFormatting>
  <conditionalFormatting sqref="I37">
    <cfRule type="cellIs" dxfId="2584" priority="580" stopIfTrue="1" operator="between">
      <formula>40</formula>
      <formula>49.999</formula>
    </cfRule>
  </conditionalFormatting>
  <conditionalFormatting sqref="I37">
    <cfRule type="cellIs" dxfId="2583" priority="581" stopIfTrue="1" operator="lessThan">
      <formula>40</formula>
    </cfRule>
  </conditionalFormatting>
  <conditionalFormatting sqref="L37">
    <cfRule type="expression" dxfId="2582" priority="582" stopIfTrue="1">
      <formula>ISBLANK(L37)</formula>
    </cfRule>
  </conditionalFormatting>
  <conditionalFormatting sqref="L37">
    <cfRule type="cellIs" dxfId="2581" priority="583" stopIfTrue="1" operator="equal">
      <formula>"No grades yet"</formula>
    </cfRule>
  </conditionalFormatting>
  <conditionalFormatting sqref="L37">
    <cfRule type="cellIs" dxfId="2580" priority="584" stopIfTrue="1" operator="greaterThanOrEqual">
      <formula>70</formula>
    </cfRule>
  </conditionalFormatting>
  <conditionalFormatting sqref="L37">
    <cfRule type="cellIs" dxfId="2579" priority="585" stopIfTrue="1" operator="between">
      <formula>60</formula>
      <formula>69.999</formula>
    </cfRule>
  </conditionalFormatting>
  <conditionalFormatting sqref="L37">
    <cfRule type="cellIs" dxfId="2578" priority="586" stopIfTrue="1" operator="between">
      <formula>50</formula>
      <formula>59.999</formula>
    </cfRule>
  </conditionalFormatting>
  <conditionalFormatting sqref="L37">
    <cfRule type="cellIs" dxfId="2577" priority="587" stopIfTrue="1" operator="between">
      <formula>40</formula>
      <formula>49.999</formula>
    </cfRule>
  </conditionalFormatting>
  <conditionalFormatting sqref="L37">
    <cfRule type="cellIs" dxfId="2576" priority="588" stopIfTrue="1" operator="lessThan">
      <formula>40</formula>
    </cfRule>
  </conditionalFormatting>
  <conditionalFormatting sqref="I3:I7">
    <cfRule type="expression" dxfId="2561" priority="603" stopIfTrue="1">
      <formula>ISBLANK(I3)</formula>
    </cfRule>
  </conditionalFormatting>
  <conditionalFormatting sqref="I3:I7">
    <cfRule type="cellIs" dxfId="2560" priority="604" stopIfTrue="1" operator="equal">
      <formula>"No grades yet"</formula>
    </cfRule>
  </conditionalFormatting>
  <conditionalFormatting sqref="I3:I7">
    <cfRule type="cellIs" dxfId="2559" priority="605" stopIfTrue="1" operator="greaterThanOrEqual">
      <formula>70</formula>
    </cfRule>
  </conditionalFormatting>
  <conditionalFormatting sqref="I3:I7">
    <cfRule type="cellIs" dxfId="2558" priority="606" stopIfTrue="1" operator="between">
      <formula>60</formula>
      <formula>69.999</formula>
    </cfRule>
  </conditionalFormatting>
  <conditionalFormatting sqref="I3:I7">
    <cfRule type="cellIs" dxfId="2557" priority="607" stopIfTrue="1" operator="between">
      <formula>50</formula>
      <formula>59.999</formula>
    </cfRule>
  </conditionalFormatting>
  <conditionalFormatting sqref="I3:I7">
    <cfRule type="cellIs" dxfId="2556" priority="608" stopIfTrue="1" operator="between">
      <formula>40</formula>
      <formula>49.999</formula>
    </cfRule>
  </conditionalFormatting>
  <conditionalFormatting sqref="I3:I7">
    <cfRule type="cellIs" dxfId="2555" priority="609" stopIfTrue="1" operator="lessThan">
      <formula>40</formula>
    </cfRule>
  </conditionalFormatting>
  <conditionalFormatting sqref="L3:L7">
    <cfRule type="expression" dxfId="2554" priority="610" stopIfTrue="1">
      <formula>ISBLANK(L3)</formula>
    </cfRule>
  </conditionalFormatting>
  <conditionalFormatting sqref="L3:L7">
    <cfRule type="cellIs" dxfId="2553" priority="611" stopIfTrue="1" operator="equal">
      <formula>"No grades yet"</formula>
    </cfRule>
  </conditionalFormatting>
  <conditionalFormatting sqref="L3:L7">
    <cfRule type="cellIs" dxfId="2552" priority="612" stopIfTrue="1" operator="greaterThanOrEqual">
      <formula>70</formula>
    </cfRule>
  </conditionalFormatting>
  <conditionalFormatting sqref="L3:L7">
    <cfRule type="cellIs" dxfId="2551" priority="613" stopIfTrue="1" operator="between">
      <formula>60</formula>
      <formula>69.999</formula>
    </cfRule>
  </conditionalFormatting>
  <conditionalFormatting sqref="L3:L7">
    <cfRule type="cellIs" dxfId="2550" priority="614" stopIfTrue="1" operator="between">
      <formula>50</formula>
      <formula>59.999</formula>
    </cfRule>
  </conditionalFormatting>
  <conditionalFormatting sqref="L3:L7">
    <cfRule type="cellIs" dxfId="2549" priority="615" stopIfTrue="1" operator="between">
      <formula>40</formula>
      <formula>49.999</formula>
    </cfRule>
  </conditionalFormatting>
  <conditionalFormatting sqref="L3:L7">
    <cfRule type="cellIs" dxfId="2548" priority="616" stopIfTrue="1" operator="lessThan">
      <formula>40</formula>
    </cfRule>
  </conditionalFormatting>
  <conditionalFormatting sqref="I13:I16">
    <cfRule type="expression" dxfId="2533" priority="631" stopIfTrue="1">
      <formula>ISBLANK(I13)</formula>
    </cfRule>
  </conditionalFormatting>
  <conditionalFormatting sqref="I13:I16">
    <cfRule type="cellIs" dxfId="2532" priority="632" stopIfTrue="1" operator="equal">
      <formula>"No grades yet"</formula>
    </cfRule>
  </conditionalFormatting>
  <conditionalFormatting sqref="I13:I16">
    <cfRule type="cellIs" dxfId="2531" priority="633" stopIfTrue="1" operator="greaterThanOrEqual">
      <formula>70</formula>
    </cfRule>
  </conditionalFormatting>
  <conditionalFormatting sqref="I13:I16">
    <cfRule type="cellIs" dxfId="2530" priority="634" stopIfTrue="1" operator="between">
      <formula>60</formula>
      <formula>69.999</formula>
    </cfRule>
  </conditionalFormatting>
  <conditionalFormatting sqref="I13:I16">
    <cfRule type="cellIs" dxfId="2529" priority="635" stopIfTrue="1" operator="between">
      <formula>50</formula>
      <formula>59.999</formula>
    </cfRule>
  </conditionalFormatting>
  <conditionalFormatting sqref="I13:I16">
    <cfRule type="cellIs" dxfId="2528" priority="636" stopIfTrue="1" operator="between">
      <formula>40</formula>
      <formula>49.999</formula>
    </cfRule>
  </conditionalFormatting>
  <conditionalFormatting sqref="I13:I16">
    <cfRule type="cellIs" dxfId="2527" priority="637" stopIfTrue="1" operator="lessThan">
      <formula>40</formula>
    </cfRule>
  </conditionalFormatting>
  <conditionalFormatting sqref="L13:L16">
    <cfRule type="expression" dxfId="2526" priority="638" stopIfTrue="1">
      <formula>ISBLANK(L13)</formula>
    </cfRule>
  </conditionalFormatting>
  <conditionalFormatting sqref="L13:L16">
    <cfRule type="cellIs" dxfId="2525" priority="639" stopIfTrue="1" operator="equal">
      <formula>"No grades yet"</formula>
    </cfRule>
  </conditionalFormatting>
  <conditionalFormatting sqref="L13:L16">
    <cfRule type="cellIs" dxfId="2524" priority="640" stopIfTrue="1" operator="greaterThanOrEqual">
      <formula>70</formula>
    </cfRule>
  </conditionalFormatting>
  <conditionalFormatting sqref="L13:L16">
    <cfRule type="cellIs" dxfId="2523" priority="641" stopIfTrue="1" operator="between">
      <formula>60</formula>
      <formula>69.999</formula>
    </cfRule>
  </conditionalFormatting>
  <conditionalFormatting sqref="L13:L16">
    <cfRule type="cellIs" dxfId="2522" priority="642" stopIfTrue="1" operator="between">
      <formula>50</formula>
      <formula>59.999</formula>
    </cfRule>
  </conditionalFormatting>
  <conditionalFormatting sqref="L13:L16">
    <cfRule type="cellIs" dxfId="2521" priority="643" stopIfTrue="1" operator="between">
      <formula>40</formula>
      <formula>49.999</formula>
    </cfRule>
  </conditionalFormatting>
  <conditionalFormatting sqref="L13:L16">
    <cfRule type="cellIs" dxfId="2520" priority="644" stopIfTrue="1" operator="lessThan">
      <formula>40</formula>
    </cfRule>
  </conditionalFormatting>
  <conditionalFormatting sqref="I17:I18">
    <cfRule type="expression" dxfId="2519" priority="645" stopIfTrue="1">
      <formula>ISBLANK(I17)</formula>
    </cfRule>
  </conditionalFormatting>
  <conditionalFormatting sqref="I17:I18">
    <cfRule type="cellIs" dxfId="2518" priority="646" stopIfTrue="1" operator="equal">
      <formula>"No grades yet"</formula>
    </cfRule>
  </conditionalFormatting>
  <conditionalFormatting sqref="I17:I18">
    <cfRule type="cellIs" dxfId="2517" priority="647" stopIfTrue="1" operator="greaterThanOrEqual">
      <formula>70</formula>
    </cfRule>
  </conditionalFormatting>
  <conditionalFormatting sqref="I17:I18">
    <cfRule type="cellIs" dxfId="2516" priority="648" stopIfTrue="1" operator="between">
      <formula>60</formula>
      <formula>69.999</formula>
    </cfRule>
  </conditionalFormatting>
  <conditionalFormatting sqref="I17:I18">
    <cfRule type="cellIs" dxfId="2515" priority="649" stopIfTrue="1" operator="between">
      <formula>50</formula>
      <formula>59.999</formula>
    </cfRule>
  </conditionalFormatting>
  <conditionalFormatting sqref="I17:I18">
    <cfRule type="cellIs" dxfId="2514" priority="650" stopIfTrue="1" operator="between">
      <formula>40</formula>
      <formula>49.999</formula>
    </cfRule>
  </conditionalFormatting>
  <conditionalFormatting sqref="I17:I18">
    <cfRule type="cellIs" dxfId="2513" priority="651" stopIfTrue="1" operator="lessThan">
      <formula>40</formula>
    </cfRule>
  </conditionalFormatting>
  <conditionalFormatting sqref="L17:L18">
    <cfRule type="expression" dxfId="2512" priority="652" stopIfTrue="1">
      <formula>ISBLANK(L17)</formula>
    </cfRule>
  </conditionalFormatting>
  <conditionalFormatting sqref="L17:L18">
    <cfRule type="cellIs" dxfId="2511" priority="653" stopIfTrue="1" operator="equal">
      <formula>"No grades yet"</formula>
    </cfRule>
  </conditionalFormatting>
  <conditionalFormatting sqref="L17:L18">
    <cfRule type="cellIs" dxfId="2510" priority="654" stopIfTrue="1" operator="greaterThanOrEqual">
      <formula>70</formula>
    </cfRule>
  </conditionalFormatting>
  <conditionalFormatting sqref="L17:L18">
    <cfRule type="cellIs" dxfId="2509" priority="655" stopIfTrue="1" operator="between">
      <formula>60</formula>
      <formula>69.999</formula>
    </cfRule>
  </conditionalFormatting>
  <conditionalFormatting sqref="L17:L18">
    <cfRule type="cellIs" dxfId="2508" priority="656" stopIfTrue="1" operator="between">
      <formula>50</formula>
      <formula>59.999</formula>
    </cfRule>
  </conditionalFormatting>
  <conditionalFormatting sqref="L17:L18">
    <cfRule type="cellIs" dxfId="2507" priority="657" stopIfTrue="1" operator="between">
      <formula>40</formula>
      <formula>49.999</formula>
    </cfRule>
  </conditionalFormatting>
  <conditionalFormatting sqref="L17:L18">
    <cfRule type="cellIs" dxfId="2506" priority="658" stopIfTrue="1" operator="lessThan">
      <formula>40</formula>
    </cfRule>
  </conditionalFormatting>
  <conditionalFormatting sqref="I19:I22">
    <cfRule type="expression" dxfId="2505" priority="659" stopIfTrue="1">
      <formula>ISBLANK(I19)</formula>
    </cfRule>
  </conditionalFormatting>
  <conditionalFormatting sqref="I19:I22">
    <cfRule type="cellIs" dxfId="2504" priority="660" stopIfTrue="1" operator="equal">
      <formula>"No grades yet"</formula>
    </cfRule>
  </conditionalFormatting>
  <conditionalFormatting sqref="I19:I22">
    <cfRule type="cellIs" dxfId="2503" priority="661" stopIfTrue="1" operator="greaterThanOrEqual">
      <formula>70</formula>
    </cfRule>
  </conditionalFormatting>
  <conditionalFormatting sqref="I19:I22">
    <cfRule type="cellIs" dxfId="2502" priority="662" stopIfTrue="1" operator="between">
      <formula>60</formula>
      <formula>69.999</formula>
    </cfRule>
  </conditionalFormatting>
  <conditionalFormatting sqref="I19:I22">
    <cfRule type="cellIs" dxfId="2501" priority="663" stopIfTrue="1" operator="between">
      <formula>50</formula>
      <formula>59.999</formula>
    </cfRule>
  </conditionalFormatting>
  <conditionalFormatting sqref="I19:I22">
    <cfRule type="cellIs" dxfId="2500" priority="664" stopIfTrue="1" operator="between">
      <formula>40</formula>
      <formula>49.999</formula>
    </cfRule>
  </conditionalFormatting>
  <conditionalFormatting sqref="I19:I22">
    <cfRule type="cellIs" dxfId="2499" priority="665" stopIfTrue="1" operator="lessThan">
      <formula>40</formula>
    </cfRule>
  </conditionalFormatting>
  <conditionalFormatting sqref="L19:L22">
    <cfRule type="expression" dxfId="2498" priority="666" stopIfTrue="1">
      <formula>ISBLANK(L19)</formula>
    </cfRule>
  </conditionalFormatting>
  <conditionalFormatting sqref="L19:L22">
    <cfRule type="cellIs" dxfId="2497" priority="667" stopIfTrue="1" operator="equal">
      <formula>"No grades yet"</formula>
    </cfRule>
  </conditionalFormatting>
  <conditionalFormatting sqref="L19:L22">
    <cfRule type="cellIs" dxfId="2496" priority="668" stopIfTrue="1" operator="greaterThanOrEqual">
      <formula>70</formula>
    </cfRule>
  </conditionalFormatting>
  <conditionalFormatting sqref="L19:L22">
    <cfRule type="cellIs" dxfId="2495" priority="669" stopIfTrue="1" operator="between">
      <formula>60</formula>
      <formula>69.999</formula>
    </cfRule>
  </conditionalFormatting>
  <conditionalFormatting sqref="L19:L22">
    <cfRule type="cellIs" dxfId="2494" priority="670" stopIfTrue="1" operator="between">
      <formula>50</formula>
      <formula>59.999</formula>
    </cfRule>
  </conditionalFormatting>
  <conditionalFormatting sqref="L19:L22">
    <cfRule type="cellIs" dxfId="2493" priority="671" stopIfTrue="1" operator="between">
      <formula>40</formula>
      <formula>49.999</formula>
    </cfRule>
  </conditionalFormatting>
  <conditionalFormatting sqref="L19:L22">
    <cfRule type="cellIs" dxfId="2492" priority="672" stopIfTrue="1" operator="lessThan">
      <formula>40</formula>
    </cfRule>
  </conditionalFormatting>
  <conditionalFormatting sqref="I23:I24">
    <cfRule type="expression" dxfId="2491" priority="673" stopIfTrue="1">
      <formula>ISBLANK(I23)</formula>
    </cfRule>
  </conditionalFormatting>
  <conditionalFormatting sqref="I23:I24">
    <cfRule type="cellIs" dxfId="2490" priority="674" stopIfTrue="1" operator="equal">
      <formula>"No grades yet"</formula>
    </cfRule>
  </conditionalFormatting>
  <conditionalFormatting sqref="I23:I24">
    <cfRule type="cellIs" dxfId="2489" priority="675" stopIfTrue="1" operator="greaterThanOrEqual">
      <formula>70</formula>
    </cfRule>
  </conditionalFormatting>
  <conditionalFormatting sqref="I23:I24">
    <cfRule type="cellIs" dxfId="2488" priority="676" stopIfTrue="1" operator="between">
      <formula>60</formula>
      <formula>69.999</formula>
    </cfRule>
  </conditionalFormatting>
  <conditionalFormatting sqref="I23:I24">
    <cfRule type="cellIs" dxfId="2487" priority="677" stopIfTrue="1" operator="between">
      <formula>50</formula>
      <formula>59.999</formula>
    </cfRule>
  </conditionalFormatting>
  <conditionalFormatting sqref="I23:I24">
    <cfRule type="cellIs" dxfId="2486" priority="678" stopIfTrue="1" operator="between">
      <formula>40</formula>
      <formula>49.999</formula>
    </cfRule>
  </conditionalFormatting>
  <conditionalFormatting sqref="I23:I24">
    <cfRule type="cellIs" dxfId="2485" priority="679" stopIfTrue="1" operator="lessThan">
      <formula>40</formula>
    </cfRule>
  </conditionalFormatting>
  <conditionalFormatting sqref="L23:L24">
    <cfRule type="expression" dxfId="2484" priority="680" stopIfTrue="1">
      <formula>ISBLANK(L23)</formula>
    </cfRule>
  </conditionalFormatting>
  <conditionalFormatting sqref="L23:L24">
    <cfRule type="cellIs" dxfId="2483" priority="681" stopIfTrue="1" operator="equal">
      <formula>"No grades yet"</formula>
    </cfRule>
  </conditionalFormatting>
  <conditionalFormatting sqref="L23:L24">
    <cfRule type="cellIs" dxfId="2482" priority="682" stopIfTrue="1" operator="greaterThanOrEqual">
      <formula>70</formula>
    </cfRule>
  </conditionalFormatting>
  <conditionalFormatting sqref="L23:L24">
    <cfRule type="cellIs" dxfId="2481" priority="683" stopIfTrue="1" operator="between">
      <formula>60</formula>
      <formula>69.999</formula>
    </cfRule>
  </conditionalFormatting>
  <conditionalFormatting sqref="L23:L24">
    <cfRule type="cellIs" dxfId="2480" priority="684" stopIfTrue="1" operator="between">
      <formula>50</formula>
      <formula>59.999</formula>
    </cfRule>
  </conditionalFormatting>
  <conditionalFormatting sqref="L23:L24">
    <cfRule type="cellIs" dxfId="2479" priority="685" stopIfTrue="1" operator="between">
      <formula>40</formula>
      <formula>49.999</formula>
    </cfRule>
  </conditionalFormatting>
  <conditionalFormatting sqref="L23:L24">
    <cfRule type="cellIs" dxfId="2478" priority="686" stopIfTrue="1" operator="lessThan">
      <formula>40</formula>
    </cfRule>
  </conditionalFormatting>
  <conditionalFormatting sqref="I29:I31">
    <cfRule type="expression" dxfId="2477" priority="687" stopIfTrue="1">
      <formula>ISBLANK(I29)</formula>
    </cfRule>
  </conditionalFormatting>
  <conditionalFormatting sqref="I29:I31">
    <cfRule type="cellIs" dxfId="2476" priority="688" stopIfTrue="1" operator="equal">
      <formula>"No grades yet"</formula>
    </cfRule>
  </conditionalFormatting>
  <conditionalFormatting sqref="I29:I31">
    <cfRule type="cellIs" dxfId="2475" priority="689" stopIfTrue="1" operator="greaterThanOrEqual">
      <formula>70</formula>
    </cfRule>
  </conditionalFormatting>
  <conditionalFormatting sqref="I29:I31">
    <cfRule type="cellIs" dxfId="2474" priority="690" stopIfTrue="1" operator="between">
      <formula>60</formula>
      <formula>69.999</formula>
    </cfRule>
  </conditionalFormatting>
  <conditionalFormatting sqref="I29:I31">
    <cfRule type="cellIs" dxfId="2473" priority="691" stopIfTrue="1" operator="between">
      <formula>50</formula>
      <formula>59.999</formula>
    </cfRule>
  </conditionalFormatting>
  <conditionalFormatting sqref="I29:I31">
    <cfRule type="cellIs" dxfId="2472" priority="692" stopIfTrue="1" operator="between">
      <formula>40</formula>
      <formula>49.999</formula>
    </cfRule>
  </conditionalFormatting>
  <conditionalFormatting sqref="I29:I31">
    <cfRule type="cellIs" dxfId="2471" priority="693" stopIfTrue="1" operator="lessThan">
      <formula>40</formula>
    </cfRule>
  </conditionalFormatting>
  <conditionalFormatting sqref="L29:L31">
    <cfRule type="expression" dxfId="2470" priority="694" stopIfTrue="1">
      <formula>ISBLANK(L29)</formula>
    </cfRule>
  </conditionalFormatting>
  <conditionalFormatting sqref="L29:L31">
    <cfRule type="cellIs" dxfId="2469" priority="695" stopIfTrue="1" operator="equal">
      <formula>"No grades yet"</formula>
    </cfRule>
  </conditionalFormatting>
  <conditionalFormatting sqref="L29:L31">
    <cfRule type="cellIs" dxfId="2468" priority="696" stopIfTrue="1" operator="greaterThanOrEqual">
      <formula>70</formula>
    </cfRule>
  </conditionalFormatting>
  <conditionalFormatting sqref="L29:L31">
    <cfRule type="cellIs" dxfId="2467" priority="697" stopIfTrue="1" operator="between">
      <formula>60</formula>
      <formula>69.999</formula>
    </cfRule>
  </conditionalFormatting>
  <conditionalFormatting sqref="L29:L31">
    <cfRule type="cellIs" dxfId="2466" priority="698" stopIfTrue="1" operator="between">
      <formula>50</formula>
      <formula>59.999</formula>
    </cfRule>
  </conditionalFormatting>
  <conditionalFormatting sqref="L29:L31">
    <cfRule type="cellIs" dxfId="2465" priority="699" stopIfTrue="1" operator="between">
      <formula>40</formula>
      <formula>49.999</formula>
    </cfRule>
  </conditionalFormatting>
  <conditionalFormatting sqref="L29:L31">
    <cfRule type="cellIs" dxfId="2464" priority="700" stopIfTrue="1" operator="lessThan">
      <formula>40</formula>
    </cfRule>
  </conditionalFormatting>
  <conditionalFormatting sqref="I32:I34">
    <cfRule type="expression" dxfId="2463" priority="701" stopIfTrue="1">
      <formula>ISBLANK(I32)</formula>
    </cfRule>
  </conditionalFormatting>
  <conditionalFormatting sqref="I32:I34">
    <cfRule type="cellIs" dxfId="2462" priority="702" stopIfTrue="1" operator="equal">
      <formula>"No grades yet"</formula>
    </cfRule>
  </conditionalFormatting>
  <conditionalFormatting sqref="I32:I34">
    <cfRule type="cellIs" dxfId="2461" priority="703" stopIfTrue="1" operator="greaterThanOrEqual">
      <formula>70</formula>
    </cfRule>
  </conditionalFormatting>
  <conditionalFormatting sqref="I32:I34">
    <cfRule type="cellIs" dxfId="2460" priority="704" stopIfTrue="1" operator="between">
      <formula>60</formula>
      <formula>69.999</formula>
    </cfRule>
  </conditionalFormatting>
  <conditionalFormatting sqref="I32:I34">
    <cfRule type="cellIs" dxfId="2459" priority="705" stopIfTrue="1" operator="between">
      <formula>50</formula>
      <formula>59.999</formula>
    </cfRule>
  </conditionalFormatting>
  <conditionalFormatting sqref="I32:I34">
    <cfRule type="cellIs" dxfId="2458" priority="706" stopIfTrue="1" operator="between">
      <formula>40</formula>
      <formula>49.999</formula>
    </cfRule>
  </conditionalFormatting>
  <conditionalFormatting sqref="I32:I34">
    <cfRule type="cellIs" dxfId="2457" priority="707" stopIfTrue="1" operator="lessThan">
      <formula>40</formula>
    </cfRule>
  </conditionalFormatting>
  <conditionalFormatting sqref="L32:L34">
    <cfRule type="expression" dxfId="2456" priority="708" stopIfTrue="1">
      <formula>ISBLANK(L32)</formula>
    </cfRule>
  </conditionalFormatting>
  <conditionalFormatting sqref="L32:L34">
    <cfRule type="cellIs" dxfId="2455" priority="709" stopIfTrue="1" operator="equal">
      <formula>"No grades yet"</formula>
    </cfRule>
  </conditionalFormatting>
  <conditionalFormatting sqref="L32:L34">
    <cfRule type="cellIs" dxfId="2454" priority="710" stopIfTrue="1" operator="greaterThanOrEqual">
      <formula>70</formula>
    </cfRule>
  </conditionalFormatting>
  <conditionalFormatting sqref="L32:L34">
    <cfRule type="cellIs" dxfId="2453" priority="711" stopIfTrue="1" operator="between">
      <formula>60</formula>
      <formula>69.999</formula>
    </cfRule>
  </conditionalFormatting>
  <conditionalFormatting sqref="L32:L34">
    <cfRule type="cellIs" dxfId="2452" priority="712" stopIfTrue="1" operator="between">
      <formula>50</formula>
      <formula>59.999</formula>
    </cfRule>
  </conditionalFormatting>
  <conditionalFormatting sqref="L32:L34">
    <cfRule type="cellIs" dxfId="2451" priority="713" stopIfTrue="1" operator="between">
      <formula>40</formula>
      <formula>49.999</formula>
    </cfRule>
  </conditionalFormatting>
  <conditionalFormatting sqref="L32:L34">
    <cfRule type="cellIs" dxfId="2450" priority="714" stopIfTrue="1" operator="lessThan">
      <formula>40</formula>
    </cfRule>
  </conditionalFormatting>
  <conditionalFormatting sqref="I41:I44">
    <cfRule type="expression" dxfId="2435" priority="729" stopIfTrue="1">
      <formula>ISBLANK(I41)</formula>
    </cfRule>
    <cfRule type="cellIs" dxfId="2434" priority="730" stopIfTrue="1" operator="equal">
      <formula>"No grades yet"</formula>
    </cfRule>
    <cfRule type="cellIs" dxfId="2433" priority="731" stopIfTrue="1" operator="greaterThanOrEqual">
      <formula>70</formula>
    </cfRule>
    <cfRule type="cellIs" dxfId="2432" priority="732" stopIfTrue="1" operator="between">
      <formula>60</formula>
      <formula>69.999</formula>
    </cfRule>
    <cfRule type="cellIs" dxfId="2431" priority="733" stopIfTrue="1" operator="between">
      <formula>50</formula>
      <formula>59.999</formula>
    </cfRule>
    <cfRule type="cellIs" dxfId="2430" priority="734" stopIfTrue="1" operator="between">
      <formula>40</formula>
      <formula>49.999</formula>
    </cfRule>
    <cfRule type="cellIs" dxfId="2429" priority="735" stopIfTrue="1" operator="lessThan">
      <formula>40</formula>
    </cfRule>
  </conditionalFormatting>
  <conditionalFormatting sqref="L41:L44">
    <cfRule type="expression" dxfId="2428" priority="736" stopIfTrue="1">
      <formula>ISBLANK(L41)</formula>
    </cfRule>
  </conditionalFormatting>
  <conditionalFormatting sqref="L41:L44">
    <cfRule type="cellIs" dxfId="2427" priority="737" stopIfTrue="1" operator="equal">
      <formula>"No grades yet"</formula>
    </cfRule>
  </conditionalFormatting>
  <conditionalFormatting sqref="L41:L44">
    <cfRule type="cellIs" dxfId="2426" priority="738" stopIfTrue="1" operator="greaterThanOrEqual">
      <formula>70</formula>
    </cfRule>
  </conditionalFormatting>
  <conditionalFormatting sqref="L41:L44">
    <cfRule type="cellIs" dxfId="2425" priority="739" stopIfTrue="1" operator="between">
      <formula>60</formula>
      <formula>69.999</formula>
    </cfRule>
  </conditionalFormatting>
  <conditionalFormatting sqref="L41:L44">
    <cfRule type="cellIs" dxfId="2424" priority="740" stopIfTrue="1" operator="between">
      <formula>50</formula>
      <formula>59.999</formula>
    </cfRule>
  </conditionalFormatting>
  <conditionalFormatting sqref="L41:L44">
    <cfRule type="cellIs" dxfId="2423" priority="741" stopIfTrue="1" operator="between">
      <formula>40</formula>
      <formula>49.999</formula>
    </cfRule>
  </conditionalFormatting>
  <conditionalFormatting sqref="L41:L44">
    <cfRule type="cellIs" dxfId="2422" priority="742" stopIfTrue="1" operator="lessThan">
      <formula>40</formula>
    </cfRule>
  </conditionalFormatting>
  <conditionalFormatting sqref="I45:I46">
    <cfRule type="expression" dxfId="2421" priority="743" stopIfTrue="1">
      <formula>ISBLANK(I45)</formula>
    </cfRule>
  </conditionalFormatting>
  <conditionalFormatting sqref="I45:I46">
    <cfRule type="cellIs" dxfId="2420" priority="744" stopIfTrue="1" operator="equal">
      <formula>"No grades yet"</formula>
    </cfRule>
  </conditionalFormatting>
  <conditionalFormatting sqref="I45:I46">
    <cfRule type="cellIs" dxfId="2419" priority="745" stopIfTrue="1" operator="greaterThanOrEqual">
      <formula>70</formula>
    </cfRule>
  </conditionalFormatting>
  <conditionalFormatting sqref="I45:I46">
    <cfRule type="cellIs" dxfId="2418" priority="746" stopIfTrue="1" operator="between">
      <formula>60</formula>
      <formula>69.999</formula>
    </cfRule>
  </conditionalFormatting>
  <conditionalFormatting sqref="I45:I46">
    <cfRule type="cellIs" dxfId="2417" priority="747" stopIfTrue="1" operator="between">
      <formula>50</formula>
      <formula>59.999</formula>
    </cfRule>
  </conditionalFormatting>
  <conditionalFormatting sqref="I45:I46">
    <cfRule type="cellIs" dxfId="2416" priority="748" stopIfTrue="1" operator="between">
      <formula>40</formula>
      <formula>49.999</formula>
    </cfRule>
  </conditionalFormatting>
  <conditionalFormatting sqref="I45:I46">
    <cfRule type="cellIs" dxfId="2415" priority="749" stopIfTrue="1" operator="lessThan">
      <formula>40</formula>
    </cfRule>
  </conditionalFormatting>
  <conditionalFormatting sqref="L45:L46">
    <cfRule type="expression" dxfId="2414" priority="750" stopIfTrue="1">
      <formula>ISBLANK(L45)</formula>
    </cfRule>
    <cfRule type="cellIs" dxfId="2413" priority="751" stopIfTrue="1" operator="equal">
      <formula>"No grades yet"</formula>
    </cfRule>
    <cfRule type="cellIs" dxfId="2412" priority="752" stopIfTrue="1" operator="greaterThanOrEqual">
      <formula>70</formula>
    </cfRule>
    <cfRule type="cellIs" dxfId="2411" priority="753" stopIfTrue="1" operator="between">
      <formula>60</formula>
      <formula>69.999</formula>
    </cfRule>
    <cfRule type="cellIs" dxfId="2410" priority="754" stopIfTrue="1" operator="between">
      <formula>50</formula>
      <formula>59.999</formula>
    </cfRule>
    <cfRule type="cellIs" dxfId="2409" priority="755" stopIfTrue="1" operator="between">
      <formula>40</formula>
      <formula>49.999</formula>
    </cfRule>
    <cfRule type="cellIs" dxfId="2408" priority="756" stopIfTrue="1" operator="lessThan">
      <formula>40</formula>
    </cfRule>
  </conditionalFormatting>
  <conditionalFormatting sqref="I47:I50">
    <cfRule type="expression" dxfId="2407" priority="757" stopIfTrue="1">
      <formula>ISBLANK(I47)</formula>
    </cfRule>
  </conditionalFormatting>
  <conditionalFormatting sqref="I47:I50">
    <cfRule type="cellIs" dxfId="2406" priority="758" stopIfTrue="1" operator="equal">
      <formula>"No grades yet"</formula>
    </cfRule>
  </conditionalFormatting>
  <conditionalFormatting sqref="I47:I50">
    <cfRule type="cellIs" dxfId="2405" priority="759" stopIfTrue="1" operator="greaterThanOrEqual">
      <formula>70</formula>
    </cfRule>
  </conditionalFormatting>
  <conditionalFormatting sqref="I47:I50">
    <cfRule type="cellIs" dxfId="2404" priority="760" stopIfTrue="1" operator="between">
      <formula>60</formula>
      <formula>69.999</formula>
    </cfRule>
  </conditionalFormatting>
  <conditionalFormatting sqref="I47:I50">
    <cfRule type="cellIs" dxfId="2403" priority="761" stopIfTrue="1" operator="between">
      <formula>50</formula>
      <formula>59.999</formula>
    </cfRule>
  </conditionalFormatting>
  <conditionalFormatting sqref="I47:I50">
    <cfRule type="cellIs" dxfId="2402" priority="762" stopIfTrue="1" operator="between">
      <formula>40</formula>
      <formula>49.999</formula>
    </cfRule>
  </conditionalFormatting>
  <conditionalFormatting sqref="I47:I50">
    <cfRule type="cellIs" dxfId="2401" priority="763" stopIfTrue="1" operator="lessThan">
      <formula>40</formula>
    </cfRule>
  </conditionalFormatting>
  <conditionalFormatting sqref="L47:L50">
    <cfRule type="expression" dxfId="2400" priority="764" stopIfTrue="1">
      <formula>ISBLANK(L47)</formula>
    </cfRule>
  </conditionalFormatting>
  <conditionalFormatting sqref="L47:L50">
    <cfRule type="cellIs" dxfId="2399" priority="765" stopIfTrue="1" operator="equal">
      <formula>"No grades yet"</formula>
    </cfRule>
  </conditionalFormatting>
  <conditionalFormatting sqref="L47:L50">
    <cfRule type="cellIs" dxfId="2398" priority="766" stopIfTrue="1" operator="greaterThanOrEqual">
      <formula>70</formula>
    </cfRule>
  </conditionalFormatting>
  <conditionalFormatting sqref="L47:L50">
    <cfRule type="cellIs" dxfId="2397" priority="767" stopIfTrue="1" operator="between">
      <formula>60</formula>
      <formula>69.999</formula>
    </cfRule>
  </conditionalFormatting>
  <conditionalFormatting sqref="L47:L50">
    <cfRule type="cellIs" dxfId="2396" priority="768" stopIfTrue="1" operator="between">
      <formula>50</formula>
      <formula>59.999</formula>
    </cfRule>
  </conditionalFormatting>
  <conditionalFormatting sqref="L47:L50">
    <cfRule type="cellIs" dxfId="2395" priority="769" stopIfTrue="1" operator="between">
      <formula>40</formula>
      <formula>49.999</formula>
    </cfRule>
  </conditionalFormatting>
  <conditionalFormatting sqref="L47:L50">
    <cfRule type="cellIs" dxfId="2394" priority="770" stopIfTrue="1" operator="lessThan">
      <formula>40</formula>
    </cfRule>
  </conditionalFormatting>
  <conditionalFormatting sqref="I51:I55">
    <cfRule type="expression" dxfId="2393" priority="771" stopIfTrue="1">
      <formula>ISBLANK(I51)</formula>
    </cfRule>
  </conditionalFormatting>
  <conditionalFormatting sqref="I51:I55">
    <cfRule type="cellIs" dxfId="2392" priority="772" stopIfTrue="1" operator="equal">
      <formula>"No grades yet"</formula>
    </cfRule>
  </conditionalFormatting>
  <conditionalFormatting sqref="I51:I55">
    <cfRule type="cellIs" dxfId="2391" priority="773" stopIfTrue="1" operator="greaterThanOrEqual">
      <formula>70</formula>
    </cfRule>
  </conditionalFormatting>
  <conditionalFormatting sqref="I51:I55">
    <cfRule type="cellIs" dxfId="2390" priority="774" stopIfTrue="1" operator="between">
      <formula>60</formula>
      <formula>69.999</formula>
    </cfRule>
  </conditionalFormatting>
  <conditionalFormatting sqref="I51:I55">
    <cfRule type="cellIs" dxfId="2389" priority="775" stopIfTrue="1" operator="between">
      <formula>50</formula>
      <formula>59.999</formula>
    </cfRule>
  </conditionalFormatting>
  <conditionalFormatting sqref="I51:I55">
    <cfRule type="cellIs" dxfId="2388" priority="776" stopIfTrue="1" operator="between">
      <formula>40</formula>
      <formula>49.999</formula>
    </cfRule>
  </conditionalFormatting>
  <conditionalFormatting sqref="I51:I55">
    <cfRule type="cellIs" dxfId="2387" priority="777" stopIfTrue="1" operator="lessThan">
      <formula>40</formula>
    </cfRule>
  </conditionalFormatting>
  <conditionalFormatting sqref="L51:L55">
    <cfRule type="expression" dxfId="2386" priority="778" stopIfTrue="1">
      <formula>ISBLANK(L51)</formula>
    </cfRule>
  </conditionalFormatting>
  <conditionalFormatting sqref="L51:L55">
    <cfRule type="cellIs" dxfId="2385" priority="779" stopIfTrue="1" operator="equal">
      <formula>"No grades yet"</formula>
    </cfRule>
  </conditionalFormatting>
  <conditionalFormatting sqref="L51:L55">
    <cfRule type="cellIs" dxfId="2384" priority="780" stopIfTrue="1" operator="greaterThanOrEqual">
      <formula>70</formula>
    </cfRule>
  </conditionalFormatting>
  <conditionalFormatting sqref="L51:L55">
    <cfRule type="cellIs" dxfId="2383" priority="781" stopIfTrue="1" operator="between">
      <formula>60</formula>
      <formula>69.999</formula>
    </cfRule>
  </conditionalFormatting>
  <conditionalFormatting sqref="L51:L55">
    <cfRule type="cellIs" dxfId="2382" priority="782" stopIfTrue="1" operator="between">
      <formula>50</formula>
      <formula>59.999</formula>
    </cfRule>
  </conditionalFormatting>
  <conditionalFormatting sqref="L51:L55">
    <cfRule type="cellIs" dxfId="2381" priority="783" stopIfTrue="1" operator="between">
      <formula>40</formula>
      <formula>49.999</formula>
    </cfRule>
  </conditionalFormatting>
  <conditionalFormatting sqref="L51:L55">
    <cfRule type="cellIs" dxfId="2380" priority="784" stopIfTrue="1" operator="lessThan">
      <formula>40</formula>
    </cfRule>
  </conditionalFormatting>
  <conditionalFormatting sqref="I56:I57">
    <cfRule type="expression" dxfId="2379" priority="785" stopIfTrue="1">
      <formula>ISBLANK(I56)</formula>
    </cfRule>
    <cfRule type="cellIs" dxfId="2378" priority="786" stopIfTrue="1" operator="equal">
      <formula>"No grades yet"</formula>
    </cfRule>
    <cfRule type="cellIs" dxfId="2377" priority="787" stopIfTrue="1" operator="greaterThanOrEqual">
      <formula>70</formula>
    </cfRule>
    <cfRule type="cellIs" dxfId="2376" priority="788" stopIfTrue="1" operator="between">
      <formula>60</formula>
      <formula>69.999</formula>
    </cfRule>
    <cfRule type="cellIs" dxfId="2375" priority="789" stopIfTrue="1" operator="between">
      <formula>50</formula>
      <formula>59.999</formula>
    </cfRule>
    <cfRule type="cellIs" dxfId="2374" priority="790" stopIfTrue="1" operator="between">
      <formula>40</formula>
      <formula>49.999</formula>
    </cfRule>
    <cfRule type="cellIs" dxfId="2373" priority="791" stopIfTrue="1" operator="lessThan">
      <formula>40</formula>
    </cfRule>
  </conditionalFormatting>
  <conditionalFormatting sqref="L56:L57">
    <cfRule type="expression" dxfId="2372" priority="792" stopIfTrue="1">
      <formula>ISBLANK(L56)</formula>
    </cfRule>
  </conditionalFormatting>
  <conditionalFormatting sqref="L56:L57">
    <cfRule type="cellIs" dxfId="2371" priority="793" stopIfTrue="1" operator="equal">
      <formula>"No grades yet"</formula>
    </cfRule>
  </conditionalFormatting>
  <conditionalFormatting sqref="L56:L57">
    <cfRule type="cellIs" dxfId="2370" priority="794" stopIfTrue="1" operator="greaterThanOrEqual">
      <formula>70</formula>
    </cfRule>
  </conditionalFormatting>
  <conditionalFormatting sqref="L56:L57">
    <cfRule type="cellIs" dxfId="2369" priority="795" stopIfTrue="1" operator="between">
      <formula>60</formula>
      <formula>69.999</formula>
    </cfRule>
  </conditionalFormatting>
  <conditionalFormatting sqref="L56:L57">
    <cfRule type="cellIs" dxfId="2368" priority="796" stopIfTrue="1" operator="between">
      <formula>50</formula>
      <formula>59.999</formula>
    </cfRule>
  </conditionalFormatting>
  <conditionalFormatting sqref="L56:L57">
    <cfRule type="cellIs" dxfId="2367" priority="797" stopIfTrue="1" operator="between">
      <formula>40</formula>
      <formula>49.999</formula>
    </cfRule>
  </conditionalFormatting>
  <conditionalFormatting sqref="L56:L57">
    <cfRule type="cellIs" dxfId="2366" priority="798" stopIfTrue="1" operator="lessThan">
      <formula>40</formula>
    </cfRule>
  </conditionalFormatting>
  <conditionalFormatting sqref="I58:I61">
    <cfRule type="expression" dxfId="2365" priority="799" stopIfTrue="1">
      <formula>ISBLANK(I58)</formula>
    </cfRule>
  </conditionalFormatting>
  <conditionalFormatting sqref="I58:I61">
    <cfRule type="cellIs" dxfId="2364" priority="800" stopIfTrue="1" operator="equal">
      <formula>"No grades yet"</formula>
    </cfRule>
  </conditionalFormatting>
  <conditionalFormatting sqref="I58:I61">
    <cfRule type="cellIs" dxfId="2363" priority="801" stopIfTrue="1" operator="greaterThanOrEqual">
      <formula>70</formula>
    </cfRule>
  </conditionalFormatting>
  <conditionalFormatting sqref="I58:I61">
    <cfRule type="cellIs" dxfId="2362" priority="802" stopIfTrue="1" operator="between">
      <formula>60</formula>
      <formula>69.999</formula>
    </cfRule>
  </conditionalFormatting>
  <conditionalFormatting sqref="I58:I61">
    <cfRule type="cellIs" dxfId="2361" priority="803" stopIfTrue="1" operator="between">
      <formula>50</formula>
      <formula>59.999</formula>
    </cfRule>
  </conditionalFormatting>
  <conditionalFormatting sqref="I58:I61">
    <cfRule type="cellIs" dxfId="2360" priority="804" stopIfTrue="1" operator="between">
      <formula>40</formula>
      <formula>49.999</formula>
    </cfRule>
  </conditionalFormatting>
  <conditionalFormatting sqref="I58:I61">
    <cfRule type="cellIs" dxfId="2359" priority="805" stopIfTrue="1" operator="lessThan">
      <formula>40</formula>
    </cfRule>
  </conditionalFormatting>
  <conditionalFormatting sqref="L58:L61">
    <cfRule type="expression" dxfId="2358" priority="806" stopIfTrue="1">
      <formula>ISBLANK(L58)</formula>
    </cfRule>
  </conditionalFormatting>
  <conditionalFormatting sqref="L58:L61">
    <cfRule type="cellIs" dxfId="2357" priority="807" stopIfTrue="1" operator="equal">
      <formula>"No grades yet"</formula>
    </cfRule>
  </conditionalFormatting>
  <conditionalFormatting sqref="L58:L61">
    <cfRule type="cellIs" dxfId="2356" priority="808" stopIfTrue="1" operator="greaterThanOrEqual">
      <formula>70</formula>
    </cfRule>
  </conditionalFormatting>
  <conditionalFormatting sqref="L58:L61">
    <cfRule type="cellIs" dxfId="2355" priority="809" stopIfTrue="1" operator="between">
      <formula>60</formula>
      <formula>69.999</formula>
    </cfRule>
  </conditionalFormatting>
  <conditionalFormatting sqref="L58:L61">
    <cfRule type="cellIs" dxfId="2354" priority="810" stopIfTrue="1" operator="between">
      <formula>50</formula>
      <formula>59.999</formula>
    </cfRule>
  </conditionalFormatting>
  <conditionalFormatting sqref="L58:L61">
    <cfRule type="cellIs" dxfId="2353" priority="811" stopIfTrue="1" operator="between">
      <formula>40</formula>
      <formula>49.999</formula>
    </cfRule>
  </conditionalFormatting>
  <conditionalFormatting sqref="L58:L61">
    <cfRule type="cellIs" dxfId="2352" priority="812" stopIfTrue="1" operator="lessThan">
      <formula>40</formula>
    </cfRule>
  </conditionalFormatting>
  <conditionalFormatting sqref="I62:I64">
    <cfRule type="expression" dxfId="2351" priority="813" stopIfTrue="1">
      <formula>ISBLANK(I62)</formula>
    </cfRule>
  </conditionalFormatting>
  <conditionalFormatting sqref="I62:I64">
    <cfRule type="cellIs" dxfId="2350" priority="814" stopIfTrue="1" operator="equal">
      <formula>"No grades yet"</formula>
    </cfRule>
  </conditionalFormatting>
  <conditionalFormatting sqref="I62:I64">
    <cfRule type="cellIs" dxfId="2349" priority="815" stopIfTrue="1" operator="greaterThanOrEqual">
      <formula>70</formula>
    </cfRule>
  </conditionalFormatting>
  <conditionalFormatting sqref="I62:I64">
    <cfRule type="cellIs" dxfId="2348" priority="816" stopIfTrue="1" operator="between">
      <formula>60</formula>
      <formula>69.999</formula>
    </cfRule>
  </conditionalFormatting>
  <conditionalFormatting sqref="I62:I64">
    <cfRule type="cellIs" dxfId="2347" priority="817" stopIfTrue="1" operator="between">
      <formula>50</formula>
      <formula>59.999</formula>
    </cfRule>
  </conditionalFormatting>
  <conditionalFormatting sqref="I62:I64">
    <cfRule type="cellIs" dxfId="2346" priority="818" stopIfTrue="1" operator="between">
      <formula>40</formula>
      <formula>49.999</formula>
    </cfRule>
  </conditionalFormatting>
  <conditionalFormatting sqref="I62:I64">
    <cfRule type="cellIs" dxfId="2345" priority="819" stopIfTrue="1" operator="lessThan">
      <formula>40</formula>
    </cfRule>
  </conditionalFormatting>
  <conditionalFormatting sqref="L62:L64">
    <cfRule type="expression" dxfId="2344" priority="820" stopIfTrue="1">
      <formula>ISBLANK(L62)</formula>
    </cfRule>
  </conditionalFormatting>
  <conditionalFormatting sqref="L62:L64">
    <cfRule type="cellIs" dxfId="2343" priority="821" stopIfTrue="1" operator="equal">
      <formula>"No grades yet"</formula>
    </cfRule>
  </conditionalFormatting>
  <conditionalFormatting sqref="L62:L64">
    <cfRule type="cellIs" dxfId="2342" priority="822" stopIfTrue="1" operator="greaterThanOrEqual">
      <formula>70</formula>
    </cfRule>
  </conditionalFormatting>
  <conditionalFormatting sqref="L62:L64">
    <cfRule type="cellIs" dxfId="2341" priority="823" stopIfTrue="1" operator="between">
      <formula>60</formula>
      <formula>69.999</formula>
    </cfRule>
  </conditionalFormatting>
  <conditionalFormatting sqref="L62:L64">
    <cfRule type="cellIs" dxfId="2340" priority="824" stopIfTrue="1" operator="between">
      <formula>50</formula>
      <formula>59.999</formula>
    </cfRule>
  </conditionalFormatting>
  <conditionalFormatting sqref="L62:L64">
    <cfRule type="cellIs" dxfId="2339" priority="825" stopIfTrue="1" operator="between">
      <formula>40</formula>
      <formula>49.999</formula>
    </cfRule>
  </conditionalFormatting>
  <conditionalFormatting sqref="L62:L64">
    <cfRule type="cellIs" dxfId="2338" priority="826" stopIfTrue="1" operator="lessThan">
      <formula>40</formula>
    </cfRule>
  </conditionalFormatting>
  <conditionalFormatting sqref="I65:I66">
    <cfRule type="expression" dxfId="2337" priority="827" stopIfTrue="1">
      <formula>ISBLANK(I65)</formula>
    </cfRule>
  </conditionalFormatting>
  <conditionalFormatting sqref="I65:I66">
    <cfRule type="cellIs" dxfId="2336" priority="828" stopIfTrue="1" operator="equal">
      <formula>"No grades yet"</formula>
    </cfRule>
  </conditionalFormatting>
  <conditionalFormatting sqref="I65:I66">
    <cfRule type="cellIs" dxfId="2335" priority="829" stopIfTrue="1" operator="greaterThanOrEqual">
      <formula>70</formula>
    </cfRule>
  </conditionalFormatting>
  <conditionalFormatting sqref="I65:I66">
    <cfRule type="cellIs" dxfId="2334" priority="830" stopIfTrue="1" operator="between">
      <formula>60</formula>
      <formula>69.999</formula>
    </cfRule>
  </conditionalFormatting>
  <conditionalFormatting sqref="I65:I66">
    <cfRule type="cellIs" dxfId="2333" priority="831" stopIfTrue="1" operator="between">
      <formula>50</formula>
      <formula>59.999</formula>
    </cfRule>
  </conditionalFormatting>
  <conditionalFormatting sqref="I65:I66">
    <cfRule type="cellIs" dxfId="2332" priority="832" stopIfTrue="1" operator="between">
      <formula>40</formula>
      <formula>49.999</formula>
    </cfRule>
  </conditionalFormatting>
  <conditionalFormatting sqref="I65:I66">
    <cfRule type="cellIs" dxfId="2331" priority="833" stopIfTrue="1" operator="lessThan">
      <formula>40</formula>
    </cfRule>
  </conditionalFormatting>
  <conditionalFormatting sqref="L65:L66">
    <cfRule type="expression" dxfId="2330" priority="834" stopIfTrue="1">
      <formula>ISBLANK(L65)</formula>
    </cfRule>
  </conditionalFormatting>
  <conditionalFormatting sqref="L65:L66">
    <cfRule type="cellIs" dxfId="2329" priority="835" stopIfTrue="1" operator="equal">
      <formula>"No grades yet"</formula>
    </cfRule>
  </conditionalFormatting>
  <conditionalFormatting sqref="L65:L66">
    <cfRule type="cellIs" dxfId="2328" priority="836" stopIfTrue="1" operator="greaterThanOrEqual">
      <formula>70</formula>
    </cfRule>
  </conditionalFormatting>
  <conditionalFormatting sqref="L65:L66">
    <cfRule type="cellIs" dxfId="2327" priority="837" stopIfTrue="1" operator="between">
      <formula>60</formula>
      <formula>69.999</formula>
    </cfRule>
  </conditionalFormatting>
  <conditionalFormatting sqref="L65:L66">
    <cfRule type="cellIs" dxfId="2326" priority="838" stopIfTrue="1" operator="between">
      <formula>50</formula>
      <formula>59.999</formula>
    </cfRule>
  </conditionalFormatting>
  <conditionalFormatting sqref="L65:L66">
    <cfRule type="cellIs" dxfId="2325" priority="839" stopIfTrue="1" operator="between">
      <formula>40</formula>
      <formula>49.999</formula>
    </cfRule>
  </conditionalFormatting>
  <conditionalFormatting sqref="L65:L66">
    <cfRule type="cellIs" dxfId="2324" priority="840" stopIfTrue="1" operator="lessThan">
      <formula>40</formula>
    </cfRule>
  </conditionalFormatting>
  <conditionalFormatting sqref="I67:I68">
    <cfRule type="expression" dxfId="2323" priority="841" stopIfTrue="1">
      <formula>ISBLANK(I67)</formula>
    </cfRule>
  </conditionalFormatting>
  <conditionalFormatting sqref="I67:I68">
    <cfRule type="cellIs" dxfId="2322" priority="842" stopIfTrue="1" operator="equal">
      <formula>"No grades yet"</formula>
    </cfRule>
  </conditionalFormatting>
  <conditionalFormatting sqref="I67:I68">
    <cfRule type="cellIs" dxfId="2321" priority="843" stopIfTrue="1" operator="greaterThanOrEqual">
      <formula>70</formula>
    </cfRule>
  </conditionalFormatting>
  <conditionalFormatting sqref="I67:I68">
    <cfRule type="cellIs" dxfId="2320" priority="844" stopIfTrue="1" operator="between">
      <formula>60</formula>
      <formula>69.999</formula>
    </cfRule>
  </conditionalFormatting>
  <conditionalFormatting sqref="I67:I68">
    <cfRule type="cellIs" dxfId="2319" priority="845" stopIfTrue="1" operator="between">
      <formula>50</formula>
      <formula>59.999</formula>
    </cfRule>
  </conditionalFormatting>
  <conditionalFormatting sqref="I67:I68">
    <cfRule type="cellIs" dxfId="2318" priority="846" stopIfTrue="1" operator="between">
      <formula>40</formula>
      <formula>49.999</formula>
    </cfRule>
  </conditionalFormatting>
  <conditionalFormatting sqref="I67:I68">
    <cfRule type="cellIs" dxfId="2317" priority="847" stopIfTrue="1" operator="lessThan">
      <formula>40</formula>
    </cfRule>
  </conditionalFormatting>
  <conditionalFormatting sqref="L67:L68">
    <cfRule type="expression" dxfId="2316" priority="848" stopIfTrue="1">
      <formula>ISBLANK(L67)</formula>
    </cfRule>
  </conditionalFormatting>
  <conditionalFormatting sqref="L67:L68">
    <cfRule type="cellIs" dxfId="2315" priority="849" stopIfTrue="1" operator="equal">
      <formula>"No grades yet"</formula>
    </cfRule>
  </conditionalFormatting>
  <conditionalFormatting sqref="L67:L68">
    <cfRule type="cellIs" dxfId="2314" priority="850" stopIfTrue="1" operator="greaterThanOrEqual">
      <formula>70</formula>
    </cfRule>
  </conditionalFormatting>
  <conditionalFormatting sqref="L67:L68">
    <cfRule type="cellIs" dxfId="2313" priority="851" stopIfTrue="1" operator="between">
      <formula>60</formula>
      <formula>69.999</formula>
    </cfRule>
  </conditionalFormatting>
  <conditionalFormatting sqref="L67:L68">
    <cfRule type="cellIs" dxfId="2312" priority="852" stopIfTrue="1" operator="between">
      <formula>50</formula>
      <formula>59.999</formula>
    </cfRule>
  </conditionalFormatting>
  <conditionalFormatting sqref="L67:L68">
    <cfRule type="cellIs" dxfId="2311" priority="853" stopIfTrue="1" operator="between">
      <formula>40</formula>
      <formula>49.999</formula>
    </cfRule>
  </conditionalFormatting>
  <conditionalFormatting sqref="L67:L68">
    <cfRule type="cellIs" dxfId="2310" priority="854" stopIfTrue="1" operator="lessThan">
      <formula>40</formula>
    </cfRule>
  </conditionalFormatting>
  <conditionalFormatting sqref="I69:I71">
    <cfRule type="expression" dxfId="2309" priority="855" stopIfTrue="1">
      <formula>ISBLANK(I69)</formula>
    </cfRule>
  </conditionalFormatting>
  <conditionalFormatting sqref="I69:I71">
    <cfRule type="cellIs" dxfId="2308" priority="856" stopIfTrue="1" operator="equal">
      <formula>"No grades yet"</formula>
    </cfRule>
  </conditionalFormatting>
  <conditionalFormatting sqref="I69:I71">
    <cfRule type="cellIs" dxfId="2307" priority="857" stopIfTrue="1" operator="greaterThanOrEqual">
      <formula>70</formula>
    </cfRule>
  </conditionalFormatting>
  <conditionalFormatting sqref="I69:I71">
    <cfRule type="cellIs" dxfId="2306" priority="858" stopIfTrue="1" operator="between">
      <formula>60</formula>
      <formula>69.999</formula>
    </cfRule>
  </conditionalFormatting>
  <conditionalFormatting sqref="I69:I71">
    <cfRule type="cellIs" dxfId="2305" priority="859" stopIfTrue="1" operator="between">
      <formula>50</formula>
      <formula>59.999</formula>
    </cfRule>
  </conditionalFormatting>
  <conditionalFormatting sqref="I69:I71">
    <cfRule type="cellIs" dxfId="2304" priority="860" stopIfTrue="1" operator="between">
      <formula>40</formula>
      <formula>49.999</formula>
    </cfRule>
  </conditionalFormatting>
  <conditionalFormatting sqref="I69:I71">
    <cfRule type="cellIs" dxfId="2303" priority="861" stopIfTrue="1" operator="lessThan">
      <formula>40</formula>
    </cfRule>
  </conditionalFormatting>
  <conditionalFormatting sqref="L69:L71">
    <cfRule type="expression" dxfId="2302" priority="862" stopIfTrue="1">
      <formula>ISBLANK(L69)</formula>
    </cfRule>
  </conditionalFormatting>
  <conditionalFormatting sqref="L69:L71">
    <cfRule type="cellIs" dxfId="2301" priority="863" stopIfTrue="1" operator="equal">
      <formula>"No grades yet"</formula>
    </cfRule>
  </conditionalFormatting>
  <conditionalFormatting sqref="L69:L71">
    <cfRule type="cellIs" dxfId="2300" priority="864" stopIfTrue="1" operator="greaterThanOrEqual">
      <formula>70</formula>
    </cfRule>
  </conditionalFormatting>
  <conditionalFormatting sqref="L69:L71">
    <cfRule type="cellIs" dxfId="2299" priority="865" stopIfTrue="1" operator="between">
      <formula>60</formula>
      <formula>69.999</formula>
    </cfRule>
  </conditionalFormatting>
  <conditionalFormatting sqref="L69:L71">
    <cfRule type="cellIs" dxfId="2298" priority="866" stopIfTrue="1" operator="between">
      <formula>50</formula>
      <formula>59.999</formula>
    </cfRule>
  </conditionalFormatting>
  <conditionalFormatting sqref="L69:L71">
    <cfRule type="cellIs" dxfId="2297" priority="867" stopIfTrue="1" operator="between">
      <formula>40</formula>
      <formula>49.999</formula>
    </cfRule>
  </conditionalFormatting>
  <conditionalFormatting sqref="L69:L71">
    <cfRule type="cellIs" dxfId="2296" priority="868" stopIfTrue="1" operator="lessThan">
      <formula>40</formula>
    </cfRule>
  </conditionalFormatting>
  <conditionalFormatting sqref="I72:I75">
    <cfRule type="expression" dxfId="2295" priority="869" stopIfTrue="1">
      <formula>ISBLANK(I72)</formula>
    </cfRule>
  </conditionalFormatting>
  <conditionalFormatting sqref="I72:I75">
    <cfRule type="cellIs" dxfId="2294" priority="870" stopIfTrue="1" operator="equal">
      <formula>"No grades yet"</formula>
    </cfRule>
  </conditionalFormatting>
  <conditionalFormatting sqref="I72:I75">
    <cfRule type="cellIs" dxfId="2293" priority="871" stopIfTrue="1" operator="greaterThanOrEqual">
      <formula>70</formula>
    </cfRule>
  </conditionalFormatting>
  <conditionalFormatting sqref="I72:I75">
    <cfRule type="cellIs" dxfId="2292" priority="872" stopIfTrue="1" operator="between">
      <formula>60</formula>
      <formula>69.999</formula>
    </cfRule>
  </conditionalFormatting>
  <conditionalFormatting sqref="I72:I75">
    <cfRule type="cellIs" dxfId="2291" priority="873" stopIfTrue="1" operator="between">
      <formula>50</formula>
      <formula>59.999</formula>
    </cfRule>
  </conditionalFormatting>
  <conditionalFormatting sqref="I72:I75">
    <cfRule type="cellIs" dxfId="2290" priority="874" stopIfTrue="1" operator="between">
      <formula>40</formula>
      <formula>49.999</formula>
    </cfRule>
  </conditionalFormatting>
  <conditionalFormatting sqref="I72:I75">
    <cfRule type="cellIs" dxfId="2289" priority="875" stopIfTrue="1" operator="lessThan">
      <formula>40</formula>
    </cfRule>
  </conditionalFormatting>
  <conditionalFormatting sqref="L72:L75">
    <cfRule type="expression" dxfId="2288" priority="876" stopIfTrue="1">
      <formula>ISBLANK(L72)</formula>
    </cfRule>
  </conditionalFormatting>
  <conditionalFormatting sqref="L72:L75">
    <cfRule type="cellIs" dxfId="2287" priority="877" stopIfTrue="1" operator="equal">
      <formula>"No grades yet"</formula>
    </cfRule>
  </conditionalFormatting>
  <conditionalFormatting sqref="L72:L75">
    <cfRule type="cellIs" dxfId="2286" priority="878" stopIfTrue="1" operator="greaterThanOrEqual">
      <formula>70</formula>
    </cfRule>
  </conditionalFormatting>
  <conditionalFormatting sqref="L72:L75">
    <cfRule type="cellIs" dxfId="2285" priority="879" stopIfTrue="1" operator="between">
      <formula>60</formula>
      <formula>69.999</formula>
    </cfRule>
  </conditionalFormatting>
  <conditionalFormatting sqref="L72:L75">
    <cfRule type="cellIs" dxfId="2284" priority="880" stopIfTrue="1" operator="between">
      <formula>50</formula>
      <formula>59.999</formula>
    </cfRule>
  </conditionalFormatting>
  <conditionalFormatting sqref="L72:L75">
    <cfRule type="cellIs" dxfId="2283" priority="881" stopIfTrue="1" operator="between">
      <formula>40</formula>
      <formula>49.999</formula>
    </cfRule>
  </conditionalFormatting>
  <conditionalFormatting sqref="L72:L75">
    <cfRule type="cellIs" dxfId="2282" priority="882" stopIfTrue="1" operator="lessThan">
      <formula>40</formula>
    </cfRule>
  </conditionalFormatting>
  <conditionalFormatting sqref="I76:I77">
    <cfRule type="expression" dxfId="2281" priority="883" stopIfTrue="1">
      <formula>ISBLANK(I76)</formula>
    </cfRule>
  </conditionalFormatting>
  <conditionalFormatting sqref="I76:I77">
    <cfRule type="cellIs" dxfId="2280" priority="884" stopIfTrue="1" operator="equal">
      <formula>"No grades yet"</formula>
    </cfRule>
  </conditionalFormatting>
  <conditionalFormatting sqref="I76:I77">
    <cfRule type="cellIs" dxfId="2279" priority="885" stopIfTrue="1" operator="greaterThanOrEqual">
      <formula>70</formula>
    </cfRule>
  </conditionalFormatting>
  <conditionalFormatting sqref="I76:I77">
    <cfRule type="cellIs" dxfId="2278" priority="886" stopIfTrue="1" operator="between">
      <formula>60</formula>
      <formula>69.999</formula>
    </cfRule>
  </conditionalFormatting>
  <conditionalFormatting sqref="I76:I77">
    <cfRule type="cellIs" dxfId="2277" priority="887" stopIfTrue="1" operator="between">
      <formula>50</formula>
      <formula>59.999</formula>
    </cfRule>
  </conditionalFormatting>
  <conditionalFormatting sqref="I76:I77">
    <cfRule type="cellIs" dxfId="2276" priority="888" stopIfTrue="1" operator="between">
      <formula>40</formula>
      <formula>49.999</formula>
    </cfRule>
  </conditionalFormatting>
  <conditionalFormatting sqref="I76:I77">
    <cfRule type="cellIs" dxfId="2275" priority="889" stopIfTrue="1" operator="lessThan">
      <formula>40</formula>
    </cfRule>
  </conditionalFormatting>
  <conditionalFormatting sqref="L76:L77">
    <cfRule type="expression" dxfId="2274" priority="890" stopIfTrue="1">
      <formula>ISBLANK(L76)</formula>
    </cfRule>
  </conditionalFormatting>
  <conditionalFormatting sqref="L76:L77">
    <cfRule type="cellIs" dxfId="2273" priority="891" stopIfTrue="1" operator="equal">
      <formula>"No grades yet"</formula>
    </cfRule>
  </conditionalFormatting>
  <conditionalFormatting sqref="L76:L77">
    <cfRule type="cellIs" dxfId="2272" priority="892" stopIfTrue="1" operator="greaterThanOrEqual">
      <formula>70</formula>
    </cfRule>
  </conditionalFormatting>
  <conditionalFormatting sqref="L76:L77">
    <cfRule type="cellIs" dxfId="2271" priority="893" stopIfTrue="1" operator="between">
      <formula>60</formula>
      <formula>69.999</formula>
    </cfRule>
  </conditionalFormatting>
  <conditionalFormatting sqref="L76:L77">
    <cfRule type="cellIs" dxfId="2270" priority="894" stopIfTrue="1" operator="between">
      <formula>50</formula>
      <formula>59.999</formula>
    </cfRule>
  </conditionalFormatting>
  <conditionalFormatting sqref="L76:L77">
    <cfRule type="cellIs" dxfId="2269" priority="895" stopIfTrue="1" operator="between">
      <formula>40</formula>
      <formula>49.999</formula>
    </cfRule>
  </conditionalFormatting>
  <conditionalFormatting sqref="L76:L77">
    <cfRule type="cellIs" dxfId="2268" priority="896" stopIfTrue="1" operator="lessThan">
      <formula>40</formula>
    </cfRule>
  </conditionalFormatting>
  <conditionalFormatting sqref="I78:I79">
    <cfRule type="expression" dxfId="2267" priority="897" stopIfTrue="1">
      <formula>ISBLANK(I78)</formula>
    </cfRule>
  </conditionalFormatting>
  <conditionalFormatting sqref="I78:I79">
    <cfRule type="cellIs" dxfId="2266" priority="898" stopIfTrue="1" operator="equal">
      <formula>"No grades yet"</formula>
    </cfRule>
  </conditionalFormatting>
  <conditionalFormatting sqref="I78:I79">
    <cfRule type="cellIs" dxfId="2265" priority="899" stopIfTrue="1" operator="greaterThanOrEqual">
      <formula>70</formula>
    </cfRule>
  </conditionalFormatting>
  <conditionalFormatting sqref="I78:I79">
    <cfRule type="cellIs" dxfId="2264" priority="900" stopIfTrue="1" operator="between">
      <formula>60</formula>
      <formula>69.999</formula>
    </cfRule>
  </conditionalFormatting>
  <conditionalFormatting sqref="I78:I79">
    <cfRule type="cellIs" dxfId="2263" priority="901" stopIfTrue="1" operator="between">
      <formula>50</formula>
      <formula>59.999</formula>
    </cfRule>
  </conditionalFormatting>
  <conditionalFormatting sqref="I78:I79">
    <cfRule type="cellIs" dxfId="2262" priority="902" stopIfTrue="1" operator="between">
      <formula>40</formula>
      <formula>49.999</formula>
    </cfRule>
  </conditionalFormatting>
  <conditionalFormatting sqref="I78:I79">
    <cfRule type="cellIs" dxfId="2261" priority="903" stopIfTrue="1" operator="lessThan">
      <formula>40</formula>
    </cfRule>
  </conditionalFormatting>
  <conditionalFormatting sqref="L78:L79">
    <cfRule type="expression" dxfId="2260" priority="904" stopIfTrue="1">
      <formula>ISBLANK(L78)</formula>
    </cfRule>
  </conditionalFormatting>
  <conditionalFormatting sqref="L78:L79">
    <cfRule type="cellIs" dxfId="2259" priority="905" stopIfTrue="1" operator="equal">
      <formula>"No grades yet"</formula>
    </cfRule>
  </conditionalFormatting>
  <conditionalFormatting sqref="L78:L79">
    <cfRule type="cellIs" dxfId="2258" priority="906" stopIfTrue="1" operator="greaterThanOrEqual">
      <formula>70</formula>
    </cfRule>
  </conditionalFormatting>
  <conditionalFormatting sqref="L78:L79">
    <cfRule type="cellIs" dxfId="2257" priority="907" stopIfTrue="1" operator="between">
      <formula>60</formula>
      <formula>69.999</formula>
    </cfRule>
  </conditionalFormatting>
  <conditionalFormatting sqref="L78:L79">
    <cfRule type="cellIs" dxfId="2256" priority="908" stopIfTrue="1" operator="between">
      <formula>50</formula>
      <formula>59.999</formula>
    </cfRule>
  </conditionalFormatting>
  <conditionalFormatting sqref="L78:L79">
    <cfRule type="cellIs" dxfId="2255" priority="909" stopIfTrue="1" operator="between">
      <formula>40</formula>
      <formula>49.999</formula>
    </cfRule>
  </conditionalFormatting>
  <conditionalFormatting sqref="L78:L79">
    <cfRule type="cellIs" dxfId="2254" priority="910" stopIfTrue="1" operator="lessThan">
      <formula>40</formula>
    </cfRule>
  </conditionalFormatting>
  <conditionalFormatting sqref="I80:I83">
    <cfRule type="expression" dxfId="2253" priority="911" stopIfTrue="1">
      <formula>ISBLANK(I80)</formula>
    </cfRule>
  </conditionalFormatting>
  <conditionalFormatting sqref="I80:I83">
    <cfRule type="cellIs" dxfId="2252" priority="912" stopIfTrue="1" operator="equal">
      <formula>"No grades yet"</formula>
    </cfRule>
  </conditionalFormatting>
  <conditionalFormatting sqref="I80:I83">
    <cfRule type="cellIs" dxfId="2251" priority="913" stopIfTrue="1" operator="greaterThanOrEqual">
      <formula>70</formula>
    </cfRule>
  </conditionalFormatting>
  <conditionalFormatting sqref="I80:I83">
    <cfRule type="cellIs" dxfId="2250" priority="914" stopIfTrue="1" operator="between">
      <formula>60</formula>
      <formula>69.999</formula>
    </cfRule>
  </conditionalFormatting>
  <conditionalFormatting sqref="I80:I83">
    <cfRule type="cellIs" dxfId="2249" priority="915" stopIfTrue="1" operator="between">
      <formula>50</formula>
      <formula>59.999</formula>
    </cfRule>
  </conditionalFormatting>
  <conditionalFormatting sqref="I80:I83">
    <cfRule type="cellIs" dxfId="2248" priority="916" stopIfTrue="1" operator="between">
      <formula>40</formula>
      <formula>49.999</formula>
    </cfRule>
  </conditionalFormatting>
  <conditionalFormatting sqref="I80:I83">
    <cfRule type="cellIs" dxfId="2247" priority="917" stopIfTrue="1" operator="lessThan">
      <formula>40</formula>
    </cfRule>
  </conditionalFormatting>
  <conditionalFormatting sqref="L80:L83">
    <cfRule type="expression" dxfId="2246" priority="918" stopIfTrue="1">
      <formula>ISBLANK(L80)</formula>
    </cfRule>
  </conditionalFormatting>
  <conditionalFormatting sqref="L80:L83">
    <cfRule type="cellIs" dxfId="2245" priority="919" stopIfTrue="1" operator="equal">
      <formula>"No grades yet"</formula>
    </cfRule>
  </conditionalFormatting>
  <conditionalFormatting sqref="L80:L83">
    <cfRule type="cellIs" dxfId="2244" priority="920" stopIfTrue="1" operator="greaterThanOrEqual">
      <formula>70</formula>
    </cfRule>
  </conditionalFormatting>
  <conditionalFormatting sqref="L80:L83">
    <cfRule type="cellIs" dxfId="2243" priority="921" stopIfTrue="1" operator="between">
      <formula>60</formula>
      <formula>69.999</formula>
    </cfRule>
  </conditionalFormatting>
  <conditionalFormatting sqref="L80:L83">
    <cfRule type="cellIs" dxfId="2242" priority="922" stopIfTrue="1" operator="between">
      <formula>50</formula>
      <formula>59.999</formula>
    </cfRule>
  </conditionalFormatting>
  <conditionalFormatting sqref="L80:L83">
    <cfRule type="cellIs" dxfId="2241" priority="923" stopIfTrue="1" operator="between">
      <formula>40</formula>
      <formula>49.999</formula>
    </cfRule>
  </conditionalFormatting>
  <conditionalFormatting sqref="L80:L83">
    <cfRule type="cellIs" dxfId="2240" priority="924" stopIfTrue="1" operator="lessThan">
      <formula>40</formula>
    </cfRule>
  </conditionalFormatting>
  <conditionalFormatting sqref="I84:I85">
    <cfRule type="expression" dxfId="2239" priority="925" stopIfTrue="1">
      <formula>ISBLANK(I84)</formula>
    </cfRule>
  </conditionalFormatting>
  <conditionalFormatting sqref="I84:I85">
    <cfRule type="cellIs" dxfId="2238" priority="926" stopIfTrue="1" operator="equal">
      <formula>"No grades yet"</formula>
    </cfRule>
  </conditionalFormatting>
  <conditionalFormatting sqref="I84:I85">
    <cfRule type="cellIs" dxfId="2237" priority="927" stopIfTrue="1" operator="greaterThanOrEqual">
      <formula>70</formula>
    </cfRule>
  </conditionalFormatting>
  <conditionalFormatting sqref="I84:I85">
    <cfRule type="cellIs" dxfId="2236" priority="928" stopIfTrue="1" operator="between">
      <formula>60</formula>
      <formula>69.999</formula>
    </cfRule>
  </conditionalFormatting>
  <conditionalFormatting sqref="I84:I85">
    <cfRule type="cellIs" dxfId="2235" priority="929" stopIfTrue="1" operator="between">
      <formula>50</formula>
      <formula>59.999</formula>
    </cfRule>
  </conditionalFormatting>
  <conditionalFormatting sqref="I84:I85">
    <cfRule type="cellIs" dxfId="2234" priority="930" stopIfTrue="1" operator="between">
      <formula>40</formula>
      <formula>49.999</formula>
    </cfRule>
  </conditionalFormatting>
  <conditionalFormatting sqref="I84:I85">
    <cfRule type="cellIs" dxfId="2233" priority="931" stopIfTrue="1" operator="lessThan">
      <formula>40</formula>
    </cfRule>
  </conditionalFormatting>
  <conditionalFormatting sqref="L84:L85">
    <cfRule type="expression" dxfId="2232" priority="932" stopIfTrue="1">
      <formula>ISBLANK(L84)</formula>
    </cfRule>
  </conditionalFormatting>
  <conditionalFormatting sqref="L84:L85">
    <cfRule type="cellIs" dxfId="2231" priority="933" stopIfTrue="1" operator="equal">
      <formula>"No grades yet"</formula>
    </cfRule>
  </conditionalFormatting>
  <conditionalFormatting sqref="L84:L85">
    <cfRule type="cellIs" dxfId="2230" priority="934" stopIfTrue="1" operator="greaterThanOrEqual">
      <formula>70</formula>
    </cfRule>
  </conditionalFormatting>
  <conditionalFormatting sqref="L84:L85">
    <cfRule type="cellIs" dxfId="2229" priority="935" stopIfTrue="1" operator="between">
      <formula>60</formula>
      <formula>69.999</formula>
    </cfRule>
  </conditionalFormatting>
  <conditionalFormatting sqref="L84:L85">
    <cfRule type="cellIs" dxfId="2228" priority="936" stopIfTrue="1" operator="between">
      <formula>50</formula>
      <formula>59.999</formula>
    </cfRule>
  </conditionalFormatting>
  <conditionalFormatting sqref="L84:L85">
    <cfRule type="cellIs" dxfId="2227" priority="937" stopIfTrue="1" operator="between">
      <formula>40</formula>
      <formula>49.999</formula>
    </cfRule>
  </conditionalFormatting>
  <conditionalFormatting sqref="L84:L85">
    <cfRule type="cellIs" dxfId="2226" priority="938" stopIfTrue="1" operator="lessThan">
      <formula>40</formula>
    </cfRule>
  </conditionalFormatting>
  <conditionalFormatting sqref="I86">
    <cfRule type="expression" dxfId="2225" priority="939" stopIfTrue="1">
      <formula>ISBLANK(I86)</formula>
    </cfRule>
  </conditionalFormatting>
  <conditionalFormatting sqref="I86">
    <cfRule type="cellIs" dxfId="2224" priority="940" stopIfTrue="1" operator="equal">
      <formula>"No grades yet"</formula>
    </cfRule>
  </conditionalFormatting>
  <conditionalFormatting sqref="I86">
    <cfRule type="cellIs" dxfId="2223" priority="941" stopIfTrue="1" operator="greaterThanOrEqual">
      <formula>70</formula>
    </cfRule>
  </conditionalFormatting>
  <conditionalFormatting sqref="I86">
    <cfRule type="cellIs" dxfId="2222" priority="942" stopIfTrue="1" operator="between">
      <formula>60</formula>
      <formula>69.999</formula>
    </cfRule>
  </conditionalFormatting>
  <conditionalFormatting sqref="I86">
    <cfRule type="cellIs" dxfId="2221" priority="943" stopIfTrue="1" operator="between">
      <formula>50</formula>
      <formula>59.999</formula>
    </cfRule>
  </conditionalFormatting>
  <conditionalFormatting sqref="I86">
    <cfRule type="cellIs" dxfId="2220" priority="944" stopIfTrue="1" operator="between">
      <formula>40</formula>
      <formula>49.999</formula>
    </cfRule>
  </conditionalFormatting>
  <conditionalFormatting sqref="I86">
    <cfRule type="cellIs" dxfId="2219" priority="945" stopIfTrue="1" operator="lessThan">
      <formula>40</formula>
    </cfRule>
  </conditionalFormatting>
  <conditionalFormatting sqref="L86">
    <cfRule type="expression" dxfId="2218" priority="946" stopIfTrue="1">
      <formula>ISBLANK(L86)</formula>
    </cfRule>
  </conditionalFormatting>
  <conditionalFormatting sqref="L86">
    <cfRule type="cellIs" dxfId="2217" priority="947" stopIfTrue="1" operator="equal">
      <formula>"No grades yet"</formula>
    </cfRule>
  </conditionalFormatting>
  <conditionalFormatting sqref="L86">
    <cfRule type="cellIs" dxfId="2216" priority="948" stopIfTrue="1" operator="greaterThanOrEqual">
      <formula>70</formula>
    </cfRule>
  </conditionalFormatting>
  <conditionalFormatting sqref="L86">
    <cfRule type="cellIs" dxfId="2215" priority="949" stopIfTrue="1" operator="between">
      <formula>60</formula>
      <formula>69.999</formula>
    </cfRule>
  </conditionalFormatting>
  <conditionalFormatting sqref="L86">
    <cfRule type="cellIs" dxfId="2214" priority="950" stopIfTrue="1" operator="between">
      <formula>50</formula>
      <formula>59.999</formula>
    </cfRule>
  </conditionalFormatting>
  <conditionalFormatting sqref="L86">
    <cfRule type="cellIs" dxfId="2213" priority="951" stopIfTrue="1" operator="between">
      <formula>40</formula>
      <formula>49.999</formula>
    </cfRule>
  </conditionalFormatting>
  <conditionalFormatting sqref="L86">
    <cfRule type="cellIs" dxfId="2212" priority="952" stopIfTrue="1" operator="lessThan">
      <formula>40</formula>
    </cfRule>
  </conditionalFormatting>
  <conditionalFormatting sqref="I87">
    <cfRule type="expression" dxfId="2211" priority="953" stopIfTrue="1">
      <formula>ISBLANK(I87)</formula>
    </cfRule>
  </conditionalFormatting>
  <conditionalFormatting sqref="I87">
    <cfRule type="cellIs" dxfId="2210" priority="954" stopIfTrue="1" operator="equal">
      <formula>"No grades yet"</formula>
    </cfRule>
  </conditionalFormatting>
  <conditionalFormatting sqref="I87">
    <cfRule type="cellIs" dxfId="2209" priority="955" stopIfTrue="1" operator="greaterThanOrEqual">
      <formula>70</formula>
    </cfRule>
  </conditionalFormatting>
  <conditionalFormatting sqref="I87">
    <cfRule type="cellIs" dxfId="2208" priority="956" stopIfTrue="1" operator="between">
      <formula>60</formula>
      <formula>69.999</formula>
    </cfRule>
  </conditionalFormatting>
  <conditionalFormatting sqref="I87">
    <cfRule type="cellIs" dxfId="2207" priority="957" stopIfTrue="1" operator="between">
      <formula>50</formula>
      <formula>59.999</formula>
    </cfRule>
  </conditionalFormatting>
  <conditionalFormatting sqref="I87">
    <cfRule type="cellIs" dxfId="2206" priority="958" stopIfTrue="1" operator="between">
      <formula>40</formula>
      <formula>49.999</formula>
    </cfRule>
  </conditionalFormatting>
  <conditionalFormatting sqref="I87">
    <cfRule type="cellIs" dxfId="2205" priority="959" stopIfTrue="1" operator="lessThan">
      <formula>40</formula>
    </cfRule>
  </conditionalFormatting>
  <conditionalFormatting sqref="L87">
    <cfRule type="expression" dxfId="2204" priority="960" stopIfTrue="1">
      <formula>ISBLANK(L87)</formula>
    </cfRule>
  </conditionalFormatting>
  <conditionalFormatting sqref="L87">
    <cfRule type="cellIs" dxfId="2203" priority="961" stopIfTrue="1" operator="equal">
      <formula>"No grades yet"</formula>
    </cfRule>
  </conditionalFormatting>
  <conditionalFormatting sqref="L87">
    <cfRule type="cellIs" dxfId="2202" priority="962" stopIfTrue="1" operator="greaterThanOrEqual">
      <formula>70</formula>
    </cfRule>
  </conditionalFormatting>
  <conditionalFormatting sqref="L87">
    <cfRule type="cellIs" dxfId="2201" priority="963" stopIfTrue="1" operator="between">
      <formula>60</formula>
      <formula>69.999</formula>
    </cfRule>
  </conditionalFormatting>
  <conditionalFormatting sqref="L87">
    <cfRule type="cellIs" dxfId="2200" priority="964" stopIfTrue="1" operator="between">
      <formula>50</formula>
      <formula>59.999</formula>
    </cfRule>
  </conditionalFormatting>
  <conditionalFormatting sqref="L87">
    <cfRule type="cellIs" dxfId="2199" priority="965" stopIfTrue="1" operator="between">
      <formula>40</formula>
      <formula>49.999</formula>
    </cfRule>
  </conditionalFormatting>
  <conditionalFormatting sqref="L87">
    <cfRule type="cellIs" dxfId="2198" priority="966" stopIfTrue="1" operator="lessThan">
      <formula>40</formula>
    </cfRule>
  </conditionalFormatting>
  <conditionalFormatting sqref="I88">
    <cfRule type="expression" dxfId="2197" priority="967" stopIfTrue="1">
      <formula>ISBLANK(I88)</formula>
    </cfRule>
  </conditionalFormatting>
  <conditionalFormatting sqref="I88">
    <cfRule type="cellIs" dxfId="2196" priority="968" stopIfTrue="1" operator="equal">
      <formula>"No grades yet"</formula>
    </cfRule>
  </conditionalFormatting>
  <conditionalFormatting sqref="I88">
    <cfRule type="cellIs" dxfId="2195" priority="969" stopIfTrue="1" operator="greaterThanOrEqual">
      <formula>70</formula>
    </cfRule>
  </conditionalFormatting>
  <conditionalFormatting sqref="I88">
    <cfRule type="cellIs" dxfId="2194" priority="970" stopIfTrue="1" operator="between">
      <formula>60</formula>
      <formula>69.999</formula>
    </cfRule>
  </conditionalFormatting>
  <conditionalFormatting sqref="I88">
    <cfRule type="cellIs" dxfId="2193" priority="971" stopIfTrue="1" operator="between">
      <formula>50</formula>
      <formula>59.999</formula>
    </cfRule>
  </conditionalFormatting>
  <conditionalFormatting sqref="I88">
    <cfRule type="cellIs" dxfId="2192" priority="972" stopIfTrue="1" operator="between">
      <formula>40</formula>
      <formula>49.999</formula>
    </cfRule>
  </conditionalFormatting>
  <conditionalFormatting sqref="I88">
    <cfRule type="cellIs" dxfId="2191" priority="973" stopIfTrue="1" operator="lessThan">
      <formula>40</formula>
    </cfRule>
  </conditionalFormatting>
  <conditionalFormatting sqref="L88">
    <cfRule type="expression" dxfId="2190" priority="974" stopIfTrue="1">
      <formula>ISBLANK(L88)</formula>
    </cfRule>
  </conditionalFormatting>
  <conditionalFormatting sqref="L88">
    <cfRule type="cellIs" dxfId="2189" priority="975" stopIfTrue="1" operator="equal">
      <formula>"No grades yet"</formula>
    </cfRule>
  </conditionalFormatting>
  <conditionalFormatting sqref="L88">
    <cfRule type="cellIs" dxfId="2188" priority="976" stopIfTrue="1" operator="greaterThanOrEqual">
      <formula>70</formula>
    </cfRule>
  </conditionalFormatting>
  <conditionalFormatting sqref="L88">
    <cfRule type="cellIs" dxfId="2187" priority="977" stopIfTrue="1" operator="between">
      <formula>60</formula>
      <formula>69.999</formula>
    </cfRule>
  </conditionalFormatting>
  <conditionalFormatting sqref="L88">
    <cfRule type="cellIs" dxfId="2186" priority="978" stopIfTrue="1" operator="between">
      <formula>50</formula>
      <formula>59.999</formula>
    </cfRule>
  </conditionalFormatting>
  <conditionalFormatting sqref="L88">
    <cfRule type="cellIs" dxfId="2185" priority="979" stopIfTrue="1" operator="between">
      <formula>40</formula>
      <formula>49.999</formula>
    </cfRule>
  </conditionalFormatting>
  <conditionalFormatting sqref="L88">
    <cfRule type="cellIs" dxfId="2184" priority="980" stopIfTrue="1" operator="lessThan">
      <formula>40</formula>
    </cfRule>
  </conditionalFormatting>
  <conditionalFormatting sqref="I89">
    <cfRule type="expression" dxfId="2183" priority="981" stopIfTrue="1">
      <formula>ISBLANK(I89)</formula>
    </cfRule>
  </conditionalFormatting>
  <conditionalFormatting sqref="I89">
    <cfRule type="cellIs" dxfId="2182" priority="982" stopIfTrue="1" operator="equal">
      <formula>"No grades yet"</formula>
    </cfRule>
  </conditionalFormatting>
  <conditionalFormatting sqref="I89">
    <cfRule type="cellIs" dxfId="2181" priority="983" stopIfTrue="1" operator="greaterThanOrEqual">
      <formula>70</formula>
    </cfRule>
  </conditionalFormatting>
  <conditionalFormatting sqref="I89">
    <cfRule type="cellIs" dxfId="2180" priority="984" stopIfTrue="1" operator="between">
      <formula>60</formula>
      <formula>69.999</formula>
    </cfRule>
  </conditionalFormatting>
  <conditionalFormatting sqref="I89">
    <cfRule type="cellIs" dxfId="2179" priority="985" stopIfTrue="1" operator="between">
      <formula>50</formula>
      <formula>59.999</formula>
    </cfRule>
  </conditionalFormatting>
  <conditionalFormatting sqref="I89">
    <cfRule type="cellIs" dxfId="2178" priority="986" stopIfTrue="1" operator="between">
      <formula>40</formula>
      <formula>49.999</formula>
    </cfRule>
  </conditionalFormatting>
  <conditionalFormatting sqref="I89">
    <cfRule type="cellIs" dxfId="2177" priority="987" stopIfTrue="1" operator="lessThan">
      <formula>40</formula>
    </cfRule>
  </conditionalFormatting>
  <conditionalFormatting sqref="L89">
    <cfRule type="expression" dxfId="2176" priority="988" stopIfTrue="1">
      <formula>ISBLANK(L89)</formula>
    </cfRule>
  </conditionalFormatting>
  <conditionalFormatting sqref="L89">
    <cfRule type="cellIs" dxfId="2175" priority="989" stopIfTrue="1" operator="equal">
      <formula>"No grades yet"</formula>
    </cfRule>
  </conditionalFormatting>
  <conditionalFormatting sqref="L89">
    <cfRule type="cellIs" dxfId="2174" priority="990" stopIfTrue="1" operator="greaterThanOrEqual">
      <formula>70</formula>
    </cfRule>
  </conditionalFormatting>
  <conditionalFormatting sqref="L89">
    <cfRule type="cellIs" dxfId="2173" priority="991" stopIfTrue="1" operator="between">
      <formula>60</formula>
      <formula>69.999</formula>
    </cfRule>
  </conditionalFormatting>
  <conditionalFormatting sqref="L89">
    <cfRule type="cellIs" dxfId="2172" priority="992" stopIfTrue="1" operator="between">
      <formula>50</formula>
      <formula>59.999</formula>
    </cfRule>
  </conditionalFormatting>
  <conditionalFormatting sqref="L89">
    <cfRule type="cellIs" dxfId="2171" priority="993" stopIfTrue="1" operator="between">
      <formula>40</formula>
      <formula>49.999</formula>
    </cfRule>
  </conditionalFormatting>
  <conditionalFormatting sqref="L89">
    <cfRule type="cellIs" dxfId="2170" priority="994" stopIfTrue="1" operator="lessThan">
      <formula>40</formula>
    </cfRule>
  </conditionalFormatting>
  <conditionalFormatting sqref="I90">
    <cfRule type="expression" dxfId="2169" priority="995" stopIfTrue="1">
      <formula>ISBLANK(I90)</formula>
    </cfRule>
  </conditionalFormatting>
  <conditionalFormatting sqref="I90">
    <cfRule type="cellIs" dxfId="2168" priority="996" stopIfTrue="1" operator="equal">
      <formula>"No grades yet"</formula>
    </cfRule>
  </conditionalFormatting>
  <conditionalFormatting sqref="I90">
    <cfRule type="cellIs" dxfId="2167" priority="997" stopIfTrue="1" operator="greaterThanOrEqual">
      <formula>70</formula>
    </cfRule>
  </conditionalFormatting>
  <conditionalFormatting sqref="I90">
    <cfRule type="cellIs" dxfId="2166" priority="998" stopIfTrue="1" operator="between">
      <formula>60</formula>
      <formula>69.999</formula>
    </cfRule>
  </conditionalFormatting>
  <conditionalFormatting sqref="I90">
    <cfRule type="cellIs" dxfId="2165" priority="999" stopIfTrue="1" operator="between">
      <formula>50</formula>
      <formula>59.999</formula>
    </cfRule>
  </conditionalFormatting>
  <conditionalFormatting sqref="I90">
    <cfRule type="cellIs" dxfId="2164" priority="1000" stopIfTrue="1" operator="between">
      <formula>40</formula>
      <formula>49.999</formula>
    </cfRule>
  </conditionalFormatting>
  <conditionalFormatting sqref="I90">
    <cfRule type="cellIs" dxfId="2163" priority="1001" stopIfTrue="1" operator="lessThan">
      <formula>40</formula>
    </cfRule>
  </conditionalFormatting>
  <conditionalFormatting sqref="L90">
    <cfRule type="expression" dxfId="2162" priority="1002" stopIfTrue="1">
      <formula>ISBLANK(L90)</formula>
    </cfRule>
  </conditionalFormatting>
  <conditionalFormatting sqref="L90">
    <cfRule type="cellIs" dxfId="2161" priority="1003" stopIfTrue="1" operator="equal">
      <formula>"No grades yet"</formula>
    </cfRule>
  </conditionalFormatting>
  <conditionalFormatting sqref="L90">
    <cfRule type="cellIs" dxfId="2160" priority="1004" stopIfTrue="1" operator="greaterThanOrEqual">
      <formula>70</formula>
    </cfRule>
  </conditionalFormatting>
  <conditionalFormatting sqref="L90">
    <cfRule type="cellIs" dxfId="2159" priority="1005" stopIfTrue="1" operator="between">
      <formula>60</formula>
      <formula>69.999</formula>
    </cfRule>
  </conditionalFormatting>
  <conditionalFormatting sqref="L90">
    <cfRule type="cellIs" dxfId="2158" priority="1006" stopIfTrue="1" operator="between">
      <formula>50</formula>
      <formula>59.999</formula>
    </cfRule>
  </conditionalFormatting>
  <conditionalFormatting sqref="L90">
    <cfRule type="cellIs" dxfId="2157" priority="1007" stopIfTrue="1" operator="between">
      <formula>40</formula>
      <formula>49.999</formula>
    </cfRule>
  </conditionalFormatting>
  <conditionalFormatting sqref="L90">
    <cfRule type="cellIs" dxfId="2156" priority="1008" stopIfTrue="1" operator="lessThan">
      <formula>40</formula>
    </cfRule>
  </conditionalFormatting>
  <conditionalFormatting sqref="I91">
    <cfRule type="expression" dxfId="2155" priority="1009" stopIfTrue="1">
      <formula>ISBLANK(I91)</formula>
    </cfRule>
  </conditionalFormatting>
  <conditionalFormatting sqref="I91">
    <cfRule type="cellIs" dxfId="2154" priority="1010" stopIfTrue="1" operator="equal">
      <formula>"No grades yet"</formula>
    </cfRule>
  </conditionalFormatting>
  <conditionalFormatting sqref="I91">
    <cfRule type="cellIs" dxfId="2153" priority="1011" stopIfTrue="1" operator="greaterThanOrEqual">
      <formula>70</formula>
    </cfRule>
  </conditionalFormatting>
  <conditionalFormatting sqref="I91">
    <cfRule type="cellIs" dxfId="2152" priority="1012" stopIfTrue="1" operator="between">
      <formula>60</formula>
      <formula>69.999</formula>
    </cfRule>
  </conditionalFormatting>
  <conditionalFormatting sqref="I91">
    <cfRule type="cellIs" dxfId="2151" priority="1013" stopIfTrue="1" operator="between">
      <formula>50</formula>
      <formula>59.999</formula>
    </cfRule>
  </conditionalFormatting>
  <conditionalFormatting sqref="I91">
    <cfRule type="cellIs" dxfId="2150" priority="1014" stopIfTrue="1" operator="between">
      <formula>40</formula>
      <formula>49.999</formula>
    </cfRule>
  </conditionalFormatting>
  <conditionalFormatting sqref="I91">
    <cfRule type="cellIs" dxfId="2149" priority="1015" stopIfTrue="1" operator="lessThan">
      <formula>40</formula>
    </cfRule>
  </conditionalFormatting>
  <conditionalFormatting sqref="L91">
    <cfRule type="expression" dxfId="2148" priority="1016" stopIfTrue="1">
      <formula>ISBLANK(L91)</formula>
    </cfRule>
  </conditionalFormatting>
  <conditionalFormatting sqref="L91">
    <cfRule type="cellIs" dxfId="2147" priority="1017" stopIfTrue="1" operator="equal">
      <formula>"No grades yet"</formula>
    </cfRule>
  </conditionalFormatting>
  <conditionalFormatting sqref="L91">
    <cfRule type="cellIs" dxfId="2146" priority="1018" stopIfTrue="1" operator="greaterThanOrEqual">
      <formula>70</formula>
    </cfRule>
  </conditionalFormatting>
  <conditionalFormatting sqref="L91">
    <cfRule type="cellIs" dxfId="2145" priority="1019" stopIfTrue="1" operator="between">
      <formula>60</formula>
      <formula>69.999</formula>
    </cfRule>
  </conditionalFormatting>
  <conditionalFormatting sqref="L91">
    <cfRule type="cellIs" dxfId="2144" priority="1020" stopIfTrue="1" operator="between">
      <formula>50</formula>
      <formula>59.999</formula>
    </cfRule>
  </conditionalFormatting>
  <conditionalFormatting sqref="L91">
    <cfRule type="cellIs" dxfId="2143" priority="1021" stopIfTrue="1" operator="between">
      <formula>40</formula>
      <formula>49.999</formula>
    </cfRule>
  </conditionalFormatting>
  <conditionalFormatting sqref="L91">
    <cfRule type="cellIs" dxfId="2142" priority="1022" stopIfTrue="1" operator="lessThan">
      <formula>40</formula>
    </cfRule>
  </conditionalFormatting>
  <conditionalFormatting sqref="I92">
    <cfRule type="expression" dxfId="2141" priority="1023" stopIfTrue="1">
      <formula>ISBLANK(I92)</formula>
    </cfRule>
  </conditionalFormatting>
  <conditionalFormatting sqref="I92">
    <cfRule type="cellIs" dxfId="2140" priority="1024" stopIfTrue="1" operator="equal">
      <formula>"No grades yet"</formula>
    </cfRule>
  </conditionalFormatting>
  <conditionalFormatting sqref="I92">
    <cfRule type="cellIs" dxfId="2139" priority="1025" stopIfTrue="1" operator="greaterThanOrEqual">
      <formula>70</formula>
    </cfRule>
  </conditionalFormatting>
  <conditionalFormatting sqref="I92">
    <cfRule type="cellIs" dxfId="2138" priority="1026" stopIfTrue="1" operator="between">
      <formula>60</formula>
      <formula>69.999</formula>
    </cfRule>
  </conditionalFormatting>
  <conditionalFormatting sqref="I92">
    <cfRule type="cellIs" dxfId="2137" priority="1027" stopIfTrue="1" operator="between">
      <formula>50</formula>
      <formula>59.999</formula>
    </cfRule>
  </conditionalFormatting>
  <conditionalFormatting sqref="I92">
    <cfRule type="cellIs" dxfId="2136" priority="1028" stopIfTrue="1" operator="between">
      <formula>40</formula>
      <formula>49.999</formula>
    </cfRule>
  </conditionalFormatting>
  <conditionalFormatting sqref="I92">
    <cfRule type="cellIs" dxfId="2135" priority="1029" stopIfTrue="1" operator="lessThan">
      <formula>40</formula>
    </cfRule>
  </conditionalFormatting>
  <conditionalFormatting sqref="L92">
    <cfRule type="expression" dxfId="2134" priority="1030" stopIfTrue="1">
      <formula>ISBLANK(L92)</formula>
    </cfRule>
  </conditionalFormatting>
  <conditionalFormatting sqref="L92">
    <cfRule type="cellIs" dxfId="2133" priority="1031" stopIfTrue="1" operator="equal">
      <formula>"No grades yet"</formula>
    </cfRule>
  </conditionalFormatting>
  <conditionalFormatting sqref="L92">
    <cfRule type="cellIs" dxfId="2132" priority="1032" stopIfTrue="1" operator="greaterThanOrEqual">
      <formula>70</formula>
    </cfRule>
  </conditionalFormatting>
  <conditionalFormatting sqref="L92">
    <cfRule type="cellIs" dxfId="2131" priority="1033" stopIfTrue="1" operator="between">
      <formula>60</formula>
      <formula>69.999</formula>
    </cfRule>
  </conditionalFormatting>
  <conditionalFormatting sqref="L92">
    <cfRule type="cellIs" dxfId="2130" priority="1034" stopIfTrue="1" operator="between">
      <formula>50</formula>
      <formula>59.999</formula>
    </cfRule>
  </conditionalFormatting>
  <conditionalFormatting sqref="L92">
    <cfRule type="cellIs" dxfId="2129" priority="1035" stopIfTrue="1" operator="between">
      <formula>40</formula>
      <formula>49.999</formula>
    </cfRule>
  </conditionalFormatting>
  <conditionalFormatting sqref="L92">
    <cfRule type="cellIs" dxfId="2128" priority="1036" stopIfTrue="1" operator="lessThan">
      <formula>40</formula>
    </cfRule>
  </conditionalFormatting>
  <conditionalFormatting sqref="I93">
    <cfRule type="expression" dxfId="2127" priority="1037" stopIfTrue="1">
      <formula>ISBLANK(I93)</formula>
    </cfRule>
  </conditionalFormatting>
  <conditionalFormatting sqref="I93">
    <cfRule type="cellIs" dxfId="2126" priority="1038" stopIfTrue="1" operator="equal">
      <formula>"No grades yet"</formula>
    </cfRule>
  </conditionalFormatting>
  <conditionalFormatting sqref="I93">
    <cfRule type="cellIs" dxfId="2125" priority="1039" stopIfTrue="1" operator="greaterThanOrEqual">
      <formula>70</formula>
    </cfRule>
  </conditionalFormatting>
  <conditionalFormatting sqref="I93">
    <cfRule type="cellIs" dxfId="2124" priority="1040" stopIfTrue="1" operator="between">
      <formula>60</formula>
      <formula>69.999</formula>
    </cfRule>
  </conditionalFormatting>
  <conditionalFormatting sqref="I93">
    <cfRule type="cellIs" dxfId="2123" priority="1041" stopIfTrue="1" operator="between">
      <formula>50</formula>
      <formula>59.999</formula>
    </cfRule>
  </conditionalFormatting>
  <conditionalFormatting sqref="I93">
    <cfRule type="cellIs" dxfId="2122" priority="1042" stopIfTrue="1" operator="between">
      <formula>40</formula>
      <formula>49.999</formula>
    </cfRule>
  </conditionalFormatting>
  <conditionalFormatting sqref="I93">
    <cfRule type="cellIs" dxfId="2121" priority="1043" stopIfTrue="1" operator="lessThan">
      <formula>40</formula>
    </cfRule>
  </conditionalFormatting>
  <conditionalFormatting sqref="L93">
    <cfRule type="expression" dxfId="2120" priority="1044" stopIfTrue="1">
      <formula>ISBLANK(L93)</formula>
    </cfRule>
  </conditionalFormatting>
  <conditionalFormatting sqref="L93">
    <cfRule type="cellIs" dxfId="2119" priority="1045" stopIfTrue="1" operator="equal">
      <formula>"No grades yet"</formula>
    </cfRule>
  </conditionalFormatting>
  <conditionalFormatting sqref="L93">
    <cfRule type="cellIs" dxfId="2118" priority="1046" stopIfTrue="1" operator="greaterThanOrEqual">
      <formula>70</formula>
    </cfRule>
  </conditionalFormatting>
  <conditionalFormatting sqref="L93">
    <cfRule type="cellIs" dxfId="2117" priority="1047" stopIfTrue="1" operator="between">
      <formula>60</formula>
      <formula>69.999</formula>
    </cfRule>
  </conditionalFormatting>
  <conditionalFormatting sqref="L93">
    <cfRule type="cellIs" dxfId="2116" priority="1048" stopIfTrue="1" operator="between">
      <formula>50</formula>
      <formula>59.999</formula>
    </cfRule>
  </conditionalFormatting>
  <conditionalFormatting sqref="L93">
    <cfRule type="cellIs" dxfId="2115" priority="1049" stopIfTrue="1" operator="between">
      <formula>40</formula>
      <formula>49.999</formula>
    </cfRule>
  </conditionalFormatting>
  <conditionalFormatting sqref="L93">
    <cfRule type="cellIs" dxfId="2114" priority="1050" stopIfTrue="1" operator="lessThan">
      <formula>40</formula>
    </cfRule>
  </conditionalFormatting>
  <conditionalFormatting sqref="I94">
    <cfRule type="expression" dxfId="2113" priority="1051" stopIfTrue="1">
      <formula>ISBLANK(I94)</formula>
    </cfRule>
  </conditionalFormatting>
  <conditionalFormatting sqref="I94">
    <cfRule type="cellIs" dxfId="2112" priority="1052" stopIfTrue="1" operator="equal">
      <formula>"No grades yet"</formula>
    </cfRule>
  </conditionalFormatting>
  <conditionalFormatting sqref="I94">
    <cfRule type="cellIs" dxfId="2111" priority="1053" stopIfTrue="1" operator="greaterThanOrEqual">
      <formula>70</formula>
    </cfRule>
  </conditionalFormatting>
  <conditionalFormatting sqref="I94">
    <cfRule type="cellIs" dxfId="2110" priority="1054" stopIfTrue="1" operator="between">
      <formula>60</formula>
      <formula>69.999</formula>
    </cfRule>
  </conditionalFormatting>
  <conditionalFormatting sqref="I94">
    <cfRule type="cellIs" dxfId="2109" priority="1055" stopIfTrue="1" operator="between">
      <formula>50</formula>
      <formula>59.999</formula>
    </cfRule>
  </conditionalFormatting>
  <conditionalFormatting sqref="I94">
    <cfRule type="cellIs" dxfId="2108" priority="1056" stopIfTrue="1" operator="between">
      <formula>40</formula>
      <formula>49.999</formula>
    </cfRule>
  </conditionalFormatting>
  <conditionalFormatting sqref="I94">
    <cfRule type="cellIs" dxfId="2107" priority="1057" stopIfTrue="1" operator="lessThan">
      <formula>40</formula>
    </cfRule>
  </conditionalFormatting>
  <conditionalFormatting sqref="L94">
    <cfRule type="expression" dxfId="2106" priority="1058" stopIfTrue="1">
      <formula>ISBLANK(L94)</formula>
    </cfRule>
  </conditionalFormatting>
  <conditionalFormatting sqref="L94">
    <cfRule type="cellIs" dxfId="2105" priority="1059" stopIfTrue="1" operator="equal">
      <formula>"No grades yet"</formula>
    </cfRule>
  </conditionalFormatting>
  <conditionalFormatting sqref="L94">
    <cfRule type="cellIs" dxfId="2104" priority="1060" stopIfTrue="1" operator="greaterThanOrEqual">
      <formula>70</formula>
    </cfRule>
  </conditionalFormatting>
  <conditionalFormatting sqref="L94">
    <cfRule type="cellIs" dxfId="2103" priority="1061" stopIfTrue="1" operator="between">
      <formula>60</formula>
      <formula>69.999</formula>
    </cfRule>
  </conditionalFormatting>
  <conditionalFormatting sqref="L94">
    <cfRule type="cellIs" dxfId="2102" priority="1062" stopIfTrue="1" operator="between">
      <formula>50</formula>
      <formula>59.999</formula>
    </cfRule>
  </conditionalFormatting>
  <conditionalFormatting sqref="L94">
    <cfRule type="cellIs" dxfId="2101" priority="1063" stopIfTrue="1" operator="between">
      <formula>40</formula>
      <formula>49.999</formula>
    </cfRule>
  </conditionalFormatting>
  <conditionalFormatting sqref="L94">
    <cfRule type="cellIs" dxfId="2100" priority="1064" stopIfTrue="1" operator="lessThan">
      <formula>40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36B78-E70A-41E9-8BD4-0100F57271A9}">
  <sheetPr codeName="Sheet7"/>
  <dimension ref="A1:P102"/>
  <sheetViews>
    <sheetView topLeftCell="A85" zoomScale="65" zoomScaleNormal="85" workbookViewId="0">
      <selection activeCell="G115" sqref="G115"/>
    </sheetView>
  </sheetViews>
  <sheetFormatPr defaultRowHeight="13.2"/>
  <cols>
    <col min="1" max="1" width="28.5546875" bestFit="1" customWidth="1"/>
    <col min="2" max="2" width="50.88671875" bestFit="1" customWidth="1"/>
    <col min="3" max="3" width="8.6640625" customWidth="1"/>
    <col min="4" max="4" width="13.44140625" customWidth="1"/>
    <col min="5" max="5" width="15.33203125" customWidth="1"/>
    <col min="6" max="6" width="13.21875" bestFit="1" customWidth="1"/>
    <col min="7" max="7" width="5.77734375" bestFit="1" customWidth="1"/>
    <col min="8" max="8" width="24.44140625" customWidth="1"/>
    <col min="9" max="9" width="11.21875" customWidth="1"/>
    <col min="10" max="10" width="15.109375" hidden="1" customWidth="1"/>
    <col min="11" max="11" width="17.44140625" hidden="1" customWidth="1"/>
    <col min="12" max="12" width="25" customWidth="1"/>
    <col min="13" max="13" width="24.33203125" customWidth="1"/>
    <col min="14" max="15" width="21.77734375" hidden="1" customWidth="1"/>
    <col min="16" max="16" width="22" hidden="1" customWidth="1"/>
  </cols>
  <sheetData>
    <row r="1" spans="1:16" ht="13.8" thickBot="1">
      <c r="A1" s="1" t="s">
        <v>64</v>
      </c>
    </row>
    <row r="2" spans="1:16" ht="24" customHeight="1" thickTop="1" thickBot="1">
      <c r="A2" s="27" t="s">
        <v>65</v>
      </c>
      <c r="B2" s="28" t="s">
        <v>1</v>
      </c>
      <c r="C2" s="28" t="s">
        <v>0</v>
      </c>
      <c r="D2" s="28" t="s">
        <v>91</v>
      </c>
      <c r="E2" s="28" t="s">
        <v>92</v>
      </c>
      <c r="F2" s="114" t="s">
        <v>224</v>
      </c>
      <c r="G2" s="114"/>
      <c r="H2" s="114"/>
      <c r="I2" s="28" t="s">
        <v>2</v>
      </c>
      <c r="J2" s="28" t="s">
        <v>3</v>
      </c>
      <c r="K2" s="28" t="s">
        <v>4</v>
      </c>
      <c r="L2" s="28" t="s">
        <v>5</v>
      </c>
      <c r="M2" s="28" t="s">
        <v>193</v>
      </c>
      <c r="N2" s="28" t="s">
        <v>7</v>
      </c>
      <c r="O2" s="28" t="s">
        <v>194</v>
      </c>
      <c r="P2" s="29" t="s">
        <v>195</v>
      </c>
    </row>
    <row r="3" spans="1:16" ht="13.8" thickTop="1">
      <c r="A3" s="204" t="s">
        <v>453</v>
      </c>
      <c r="B3" s="201" t="s">
        <v>454</v>
      </c>
      <c r="C3" s="194">
        <v>30</v>
      </c>
      <c r="D3" s="310">
        <v>0.58329999999999993</v>
      </c>
      <c r="E3" s="195">
        <v>0.5</v>
      </c>
      <c r="F3" s="196" t="s">
        <v>199</v>
      </c>
      <c r="G3" s="214">
        <v>0.1</v>
      </c>
      <c r="H3" s="196" t="s">
        <v>374</v>
      </c>
      <c r="I3" s="186"/>
      <c r="J3" s="158">
        <f>IF(G3=1, I3, SUMPRODUCT(I3:I5, G3:G5))</f>
        <v>0</v>
      </c>
      <c r="K3" s="158">
        <f>SUMIF(I3:I5, "&lt;&gt;", G3:G5) / SUMIF(G3:G5, "&lt;&gt;")</f>
        <v>0</v>
      </c>
      <c r="L3" s="158" t="str">
        <f>IFERROR(J3/K3, "No grades yet")</f>
        <v>No grades yet</v>
      </c>
      <c r="M3" s="158">
        <f>IFERROR(IF(K3 = 1, "Completed module", IF(((70 - J3) / (1 - K3)) &gt; 100, "Unattainable", IF(((70 - J3) / (1 - K3)) &lt; 0, "Already attained", ((70 - J3) / (1 - K3))))), "-")</f>
        <v>70</v>
      </c>
      <c r="N3" s="158">
        <f>IFERROR(IF(K3 = 1, "Completed module", IF(((60 - J3) / (1 - K3)) &gt; 100, "Unattainable", IF(((60 - J3) / (1 - K3)) &lt; 0, "Already attained", ((60 - J3) / (1 - K3))))), "-")</f>
        <v>60</v>
      </c>
      <c r="O3" s="158">
        <f>IFERROR(IF(K3 = 1, "Completed module", IF(((50 - J3) / (1 - K3)) &gt; 100, "Unattainable", IF(((50 - J3) / (1 - K3)) &lt; 0, "Already attained", ((50 - J3) / (1 - K3))))), "-")</f>
        <v>50</v>
      </c>
      <c r="P3" s="166">
        <f>IFERROR(IF(K3 = 1, "Completed module", IF(((40 - J3) / (1 - K3)) &gt; 100, "Unattainable", IF(((40 - J3) / (1 - K3)) &lt; 0, "Already attained", ((40 - J3) / (1 - K3))))), "-")</f>
        <v>40</v>
      </c>
    </row>
    <row r="4" spans="1:16" ht="13.2" customHeight="1">
      <c r="A4" s="205"/>
      <c r="B4" s="202"/>
      <c r="C4" s="191"/>
      <c r="D4" s="309"/>
      <c r="E4" s="192"/>
      <c r="F4" s="193" t="s">
        <v>201</v>
      </c>
      <c r="G4" s="213">
        <v>0.2</v>
      </c>
      <c r="H4" s="193" t="s">
        <v>375</v>
      </c>
      <c r="I4" s="185"/>
      <c r="J4" s="148"/>
      <c r="K4" s="148"/>
      <c r="L4" s="148"/>
      <c r="M4" s="148"/>
      <c r="N4" s="148"/>
      <c r="O4" s="148"/>
      <c r="P4" s="167"/>
    </row>
    <row r="5" spans="1:16" ht="13.8" thickBot="1">
      <c r="A5" s="206"/>
      <c r="B5" s="203"/>
      <c r="C5" s="198"/>
      <c r="D5" s="311"/>
      <c r="E5" s="199"/>
      <c r="F5" s="200" t="s">
        <v>199</v>
      </c>
      <c r="G5" s="215">
        <v>0.7</v>
      </c>
      <c r="H5" s="200" t="s">
        <v>283</v>
      </c>
      <c r="I5" s="187"/>
      <c r="J5" s="165"/>
      <c r="K5" s="165"/>
      <c r="L5" s="165"/>
      <c r="M5" s="165"/>
      <c r="N5" s="165"/>
      <c r="O5" s="165"/>
      <c r="P5" s="168"/>
    </row>
    <row r="6" spans="1:16" ht="13.8" thickTop="1"/>
    <row r="7" spans="1:16" ht="13.8" thickBot="1">
      <c r="A7" s="103" t="s">
        <v>370</v>
      </c>
      <c r="B7" s="104"/>
    </row>
    <row r="8" spans="1:16" ht="25.8" customHeight="1" thickTop="1" thickBot="1">
      <c r="A8" s="27" t="s">
        <v>65</v>
      </c>
      <c r="B8" s="28" t="s">
        <v>1</v>
      </c>
      <c r="C8" s="28" t="s">
        <v>0</v>
      </c>
      <c r="D8" s="28" t="s">
        <v>91</v>
      </c>
      <c r="E8" s="28" t="s">
        <v>92</v>
      </c>
      <c r="F8" s="114" t="s">
        <v>224</v>
      </c>
      <c r="G8" s="114"/>
      <c r="H8" s="114"/>
      <c r="I8" s="28" t="s">
        <v>2</v>
      </c>
      <c r="J8" s="28" t="s">
        <v>3</v>
      </c>
      <c r="K8" s="28" t="s">
        <v>4</v>
      </c>
      <c r="L8" s="28" t="s">
        <v>5</v>
      </c>
      <c r="M8" s="28" t="s">
        <v>193</v>
      </c>
      <c r="N8" s="28" t="s">
        <v>7</v>
      </c>
      <c r="O8" s="28" t="s">
        <v>194</v>
      </c>
      <c r="P8" s="29" t="s">
        <v>195</v>
      </c>
    </row>
    <row r="9" spans="1:16" ht="13.8" thickTop="1">
      <c r="A9" s="204" t="s">
        <v>446</v>
      </c>
      <c r="B9" s="201" t="s">
        <v>310</v>
      </c>
      <c r="C9" s="194">
        <v>5</v>
      </c>
      <c r="D9" s="310">
        <v>8.3299999999999999E-2</v>
      </c>
      <c r="E9" s="195">
        <v>0.5</v>
      </c>
      <c r="F9" s="196" t="s">
        <v>150</v>
      </c>
      <c r="G9" s="214">
        <v>0.5</v>
      </c>
      <c r="H9" s="196" t="s">
        <v>209</v>
      </c>
      <c r="I9" s="186"/>
      <c r="J9" s="158">
        <f>IF(G9=1, I9, SUMPRODUCT(I9:I12, G9:G12))</f>
        <v>0</v>
      </c>
      <c r="K9" s="158">
        <f>SUMIF(I9:I12, "&lt;&gt;", G9:G12) / SUMIF(G9:G12, "&lt;&gt;")</f>
        <v>0</v>
      </c>
      <c r="L9" s="158" t="str">
        <f>IFERROR(J9/K9, "No grades yet")</f>
        <v>No grades yet</v>
      </c>
      <c r="M9" s="158">
        <f>IFERROR(IF(K9 = 1, "Completed module", IF(((70 - J9) / (1 - K9)) &gt; 100, "Unattainable", IF(((70 - J9) / (1 - K9)) &lt; 0, "Already attained", ((70 - J9) / (1 - K9))))), "-")</f>
        <v>70</v>
      </c>
      <c r="N9" s="158">
        <f>IFERROR(IF(K9 = 1, "Completed module", IF(((60 - J9) / (1 - K9)) &gt; 100, "Unattainable", IF(((60 - J9) / (1 - K9)) &lt; 0, "Already attained", ((60 - J9) / (1 - K9))))), "-")</f>
        <v>60</v>
      </c>
      <c r="O9" s="158">
        <f>IFERROR(IF(K9 = 1, "Completed module", IF(((50 - J9) / (1 - K9)) &gt; 100, "Unattainable", IF(((50 - J9) / (1 - K9)) &lt; 0, "Already attained", ((50 - J9) / (1 - K9))))), "-")</f>
        <v>50</v>
      </c>
      <c r="P9" s="166">
        <f>IFERROR(IF(K9 = 1, "Completed module", IF(((40 - J9) / (1 - K9)) &gt; 100, "Unattainable", IF(((40 - J9) / (1 - K9)) &lt; 0, "Already attained", ((40 - J9) / (1 - K9))))), "-")</f>
        <v>40</v>
      </c>
    </row>
    <row r="10" spans="1:16">
      <c r="A10" s="205"/>
      <c r="B10" s="202"/>
      <c r="C10" s="191"/>
      <c r="D10" s="309"/>
      <c r="E10" s="192"/>
      <c r="F10" s="193" t="s">
        <v>191</v>
      </c>
      <c r="G10" s="213">
        <v>0.15</v>
      </c>
      <c r="H10" s="193" t="s">
        <v>320</v>
      </c>
      <c r="I10" s="185"/>
      <c r="J10" s="148"/>
      <c r="K10" s="148"/>
      <c r="L10" s="148"/>
      <c r="M10" s="148"/>
      <c r="N10" s="148"/>
      <c r="O10" s="148"/>
      <c r="P10" s="167"/>
    </row>
    <row r="11" spans="1:16">
      <c r="A11" s="205"/>
      <c r="B11" s="202"/>
      <c r="C11" s="191"/>
      <c r="D11" s="309"/>
      <c r="E11" s="192"/>
      <c r="F11" s="193" t="s">
        <v>199</v>
      </c>
      <c r="G11" s="213">
        <v>0.15</v>
      </c>
      <c r="H11" s="193" t="s">
        <v>447</v>
      </c>
      <c r="I11" s="185"/>
      <c r="J11" s="148"/>
      <c r="K11" s="148"/>
      <c r="L11" s="148"/>
      <c r="M11" s="148"/>
      <c r="N11" s="148"/>
      <c r="O11" s="148"/>
      <c r="P11" s="167"/>
    </row>
    <row r="12" spans="1:16" ht="13.8" thickBot="1">
      <c r="A12" s="207"/>
      <c r="B12" s="208"/>
      <c r="C12" s="209"/>
      <c r="D12" s="312"/>
      <c r="E12" s="210"/>
      <c r="F12" s="211" t="s">
        <v>233</v>
      </c>
      <c r="G12" s="216">
        <v>0.2</v>
      </c>
      <c r="H12" s="211" t="s">
        <v>233</v>
      </c>
      <c r="I12" s="212"/>
      <c r="J12" s="183"/>
      <c r="K12" s="183"/>
      <c r="L12" s="183"/>
      <c r="M12" s="183"/>
      <c r="N12" s="183"/>
      <c r="O12" s="183"/>
      <c r="P12" s="184"/>
    </row>
    <row r="13" spans="1:16" ht="23.4" customHeight="1" thickTop="1">
      <c r="A13" s="204" t="s">
        <v>335</v>
      </c>
      <c r="B13" s="201" t="s">
        <v>336</v>
      </c>
      <c r="C13" s="194">
        <v>5</v>
      </c>
      <c r="D13" s="310">
        <v>8.3299999999999999E-2</v>
      </c>
      <c r="E13" s="195">
        <v>0.4</v>
      </c>
      <c r="F13" s="196" t="s">
        <v>150</v>
      </c>
      <c r="G13" s="214">
        <v>0.6</v>
      </c>
      <c r="H13" s="196" t="s">
        <v>209</v>
      </c>
      <c r="I13" s="186"/>
      <c r="J13" s="158">
        <f>IF(G13=1, I13, SUMPRODUCT(I13:I14, G13:G14))</f>
        <v>0</v>
      </c>
      <c r="K13" s="158">
        <f>SUMIF(I13:I14, "&lt;&gt;", G13:G14) / SUMIF(G13:G14, "&lt;&gt;")</f>
        <v>0</v>
      </c>
      <c r="L13" s="158" t="str">
        <f>IFERROR(J13/K13, "No grades yet")</f>
        <v>No grades yet</v>
      </c>
      <c r="M13" s="158">
        <f>IFERROR(IF(K13 = 1, "Completed module", IF(((70 - J13) / (1 - K13)) &gt; 100, "Unattainable", IF(((70 - J13) / (1 - K13)) &lt; 0, "Already attained", ((70 - J13) / (1 - K13))))), "-")</f>
        <v>70</v>
      </c>
      <c r="N13" s="158">
        <f>IFERROR(IF(K13 = 1, "Completed module", IF(((60 - J13) / (1 - K13)) &gt; 100, "Unattainable", IF(((60 - J13) / (1 - K13)) &lt; 0, "Already attained", ((60 - J13) / (1 - K13))))), "-")</f>
        <v>60</v>
      </c>
      <c r="O13" s="158">
        <f>IFERROR(IF(K13 = 1, "Completed module", IF(((50 - J13) / (1 - K13)) &gt; 100, "Unattainable", IF(((50 - J13) / (1 - K13)) &lt; 0, "Already attained", ((50 - J13) / (1 - K13))))), "-")</f>
        <v>50</v>
      </c>
      <c r="P13" s="166">
        <f>IFERROR(IF(K13 = 1, "Completed module", IF(((40 - J13) / (1 - K13)) &gt; 100, "Unattainable", IF(((40 - J13) / (1 - K13)) &lt; 0, "Already attained", ((40 - J13) / (1 - K13))))), "-")</f>
        <v>40</v>
      </c>
    </row>
    <row r="14" spans="1:16" ht="13.8" thickBot="1">
      <c r="A14" s="207"/>
      <c r="B14" s="208"/>
      <c r="C14" s="209"/>
      <c r="D14" s="312"/>
      <c r="E14" s="210"/>
      <c r="F14" s="211" t="s">
        <v>337</v>
      </c>
      <c r="G14" s="216">
        <v>0.4</v>
      </c>
      <c r="H14" s="211" t="s">
        <v>448</v>
      </c>
      <c r="I14" s="212"/>
      <c r="J14" s="183"/>
      <c r="K14" s="183"/>
      <c r="L14" s="183"/>
      <c r="M14" s="183"/>
      <c r="N14" s="183"/>
      <c r="O14" s="183"/>
      <c r="P14" s="184"/>
    </row>
    <row r="15" spans="1:16" ht="13.8" thickTop="1">
      <c r="A15" s="204" t="s">
        <v>318</v>
      </c>
      <c r="B15" s="201" t="s">
        <v>319</v>
      </c>
      <c r="C15" s="194">
        <v>5</v>
      </c>
      <c r="D15" s="310">
        <v>8.3299999999999999E-2</v>
      </c>
      <c r="E15" s="195">
        <v>0.4</v>
      </c>
      <c r="F15" s="196" t="s">
        <v>150</v>
      </c>
      <c r="G15" s="214">
        <v>0.7</v>
      </c>
      <c r="H15" s="196" t="s">
        <v>209</v>
      </c>
      <c r="I15" s="186"/>
      <c r="J15" s="158">
        <f>IF(G15=1, I15, SUMPRODUCT(I15:I17, G15:G17))</f>
        <v>0</v>
      </c>
      <c r="K15" s="158">
        <f>SUMIF(I15:I17, "&lt;&gt;", G15:G17) / SUMIF(G15:G17, "&lt;&gt;")</f>
        <v>0</v>
      </c>
      <c r="L15" s="158" t="str">
        <f>IFERROR(J15/K15, "No grades yet")</f>
        <v>No grades yet</v>
      </c>
      <c r="M15" s="158">
        <f>IFERROR(IF(K15 = 1, "Completed module", IF(((70 - J15) / (1 - K15)) &gt; 100, "Unattainable", IF(((70 - J15) / (1 - K15)) &lt; 0, "Already attained", ((70 - J15) / (1 - K15))))), "-")</f>
        <v>70</v>
      </c>
      <c r="N15" s="158">
        <f>IFERROR(IF(K15 = 1, "Completed module", IF(((60 - J15) / (1 - K15)) &gt; 100, "Unattainable", IF(((60 - J15) / (1 - K15)) &lt; 0, "Already attained", ((60 - J15) / (1 - K15))))), "-")</f>
        <v>60</v>
      </c>
      <c r="O15" s="158">
        <f>IFERROR(IF(K15 = 1, "Completed module", IF(((50 - J15) / (1 - K15)) &gt; 100, "Unattainable", IF(((50 - J15) / (1 - K15)) &lt; 0, "Already attained", ((50 - J15) / (1 - K15))))), "-")</f>
        <v>50</v>
      </c>
      <c r="P15" s="166">
        <f>IFERROR(IF(K15 = 1, "Completed module", IF(((40 - J15) / (1 - K15)) &gt; 100, "Unattainable", IF(((40 - J15) / (1 - K15)) &lt; 0, "Already attained", ((40 - J15) / (1 - K15))))), "-")</f>
        <v>40</v>
      </c>
    </row>
    <row r="16" spans="1:16" ht="26.4" customHeight="1">
      <c r="A16" s="205"/>
      <c r="B16" s="202"/>
      <c r="C16" s="191"/>
      <c r="D16" s="309"/>
      <c r="E16" s="192"/>
      <c r="F16" s="193" t="s">
        <v>191</v>
      </c>
      <c r="G16" s="213">
        <v>0.15</v>
      </c>
      <c r="H16" s="193" t="s">
        <v>320</v>
      </c>
      <c r="I16" s="185"/>
      <c r="J16" s="148"/>
      <c r="K16" s="148"/>
      <c r="L16" s="148"/>
      <c r="M16" s="148"/>
      <c r="N16" s="148"/>
      <c r="O16" s="148"/>
      <c r="P16" s="167"/>
    </row>
    <row r="17" spans="1:16" ht="13.8" thickBot="1">
      <c r="A17" s="207"/>
      <c r="B17" s="208"/>
      <c r="C17" s="209"/>
      <c r="D17" s="312"/>
      <c r="E17" s="210"/>
      <c r="F17" s="211" t="s">
        <v>191</v>
      </c>
      <c r="G17" s="216">
        <v>0.15</v>
      </c>
      <c r="H17" s="211" t="s">
        <v>321</v>
      </c>
      <c r="I17" s="212"/>
      <c r="J17" s="183"/>
      <c r="K17" s="183"/>
      <c r="L17" s="183"/>
      <c r="M17" s="183"/>
      <c r="N17" s="183"/>
      <c r="O17" s="183"/>
      <c r="P17" s="184"/>
    </row>
    <row r="18" spans="1:16" ht="46.2" customHeight="1" thickTop="1" thickBot="1">
      <c r="A18" s="227" t="s">
        <v>376</v>
      </c>
      <c r="B18" s="228" t="s">
        <v>377</v>
      </c>
      <c r="C18" s="229">
        <v>5</v>
      </c>
      <c r="D18" s="314">
        <v>8.3299999999999999E-2</v>
      </c>
      <c r="E18" s="230">
        <v>0.4</v>
      </c>
      <c r="F18" s="306" t="s">
        <v>150</v>
      </c>
      <c r="G18" s="315">
        <v>1</v>
      </c>
      <c r="H18" s="306" t="s">
        <v>209</v>
      </c>
      <c r="I18" s="233"/>
      <c r="J18" s="234">
        <f>IF(G18=1, I18, SUMPRODUCT(I18:I18, G18:G18))</f>
        <v>0</v>
      </c>
      <c r="K18" s="234">
        <f>SUMIF(I18:I18, "&lt;&gt;", G18:G18) / SUMIF(G18:G18, "&lt;&gt;")</f>
        <v>0</v>
      </c>
      <c r="L18" s="234" t="str">
        <f>IFERROR(J18/K18, "No grades yet")</f>
        <v>No grades yet</v>
      </c>
      <c r="M18" s="234">
        <f>IFERROR(IF(K18 = 1, "Completed module", IF(((70 - J18) / (1 - K18)) &gt; 100, "Unattainable", IF(((70 - J18) / (1 - K18)) &lt; 0, "Already attained", ((70 - J18) / (1 - K18))))), "-")</f>
        <v>70</v>
      </c>
      <c r="N18" s="234">
        <f>IFERROR(IF(K18 = 1, "Completed module", IF(((60 - J18) / (1 - K18)) &gt; 100, "Unattainable", IF(((60 - J18) / (1 - K18)) &lt; 0, "Already attained", ((60 - J18) / (1 - K18))))), "-")</f>
        <v>60</v>
      </c>
      <c r="O18" s="234">
        <f>IFERROR(IF(K18 = 1, "Completed module", IF(((50 - J18) / (1 - K18)) &gt; 100, "Unattainable", IF(((50 - J18) / (1 - K18)) &lt; 0, "Already attained", ((50 - J18) / (1 - K18))))), "-")</f>
        <v>50</v>
      </c>
      <c r="P18" s="235">
        <f>IFERROR(IF(K18 = 1, "Completed module", IF(((40 - J18) / (1 - K18)) &gt; 100, "Unattainable", IF(((40 - J18) / (1 - K18)) &lt; 0, "Already attained", ((40 - J18) / (1 - K18))))), "-")</f>
        <v>40</v>
      </c>
    </row>
    <row r="19" spans="1:16" ht="13.8" thickTop="1">
      <c r="A19" s="204" t="s">
        <v>449</v>
      </c>
      <c r="B19" s="201" t="s">
        <v>450</v>
      </c>
      <c r="C19" s="194">
        <v>5</v>
      </c>
      <c r="D19" s="310">
        <v>8.3299999999999999E-2</v>
      </c>
      <c r="E19" s="195">
        <v>0.5</v>
      </c>
      <c r="F19" s="196" t="s">
        <v>188</v>
      </c>
      <c r="G19" s="214">
        <v>0.15</v>
      </c>
      <c r="H19" s="196" t="s">
        <v>188</v>
      </c>
      <c r="I19" s="186"/>
      <c r="J19" s="158">
        <f>IF(G19=1, I19, SUMPRODUCT(I19:I21, G19:G21))</f>
        <v>0</v>
      </c>
      <c r="K19" s="158">
        <f>SUMIF(I19:I21, "&lt;&gt;", G19:G21) / SUMIF(G19:G21, "&lt;&gt;")</f>
        <v>0</v>
      </c>
      <c r="L19" s="158" t="str">
        <f>IFERROR(J19/K19, "No grades yet")</f>
        <v>No grades yet</v>
      </c>
      <c r="M19" s="158">
        <f>IFERROR(IF(K19 = 1, "Completed module", IF(((70 - J19) / (1 - K19)) &gt; 100, "Unattainable", IF(((70 - J19) / (1 - K19)) &lt; 0, "Already attained", ((70 - J19) / (1 - K19))))), "-")</f>
        <v>70</v>
      </c>
      <c r="N19" s="158">
        <f>IFERROR(IF(K19 = 1, "Completed module", IF(((60 - J19) / (1 - K19)) &gt; 100, "Unattainable", IF(((60 - J19) / (1 - K19)) &lt; 0, "Already attained", ((60 - J19) / (1 - K19))))), "-")</f>
        <v>60</v>
      </c>
      <c r="O19" s="158">
        <f>IFERROR(IF(K19 = 1, "Completed module", IF(((50 - J19) / (1 - K19)) &gt; 100, "Unattainable", IF(((50 - J19) / (1 - K19)) &lt; 0, "Already attained", ((50 - J19) / (1 - K19))))), "-")</f>
        <v>50</v>
      </c>
      <c r="P19" s="166">
        <f>IFERROR(IF(K19 = 1, "Completed module", IF(((40 - J19) / (1 - K19)) &gt; 100, "Unattainable", IF(((40 - J19) / (1 - K19)) &lt; 0, "Already attained", ((40 - J19) / (1 - K19))))), "-")</f>
        <v>40</v>
      </c>
    </row>
    <row r="20" spans="1:16" ht="52.8" customHeight="1">
      <c r="A20" s="205"/>
      <c r="B20" s="202"/>
      <c r="C20" s="191"/>
      <c r="D20" s="309"/>
      <c r="E20" s="192"/>
      <c r="F20" s="193" t="s">
        <v>199</v>
      </c>
      <c r="G20" s="213">
        <v>0.35</v>
      </c>
      <c r="H20" s="193" t="s">
        <v>451</v>
      </c>
      <c r="I20" s="185"/>
      <c r="J20" s="148"/>
      <c r="K20" s="148"/>
      <c r="L20" s="148"/>
      <c r="M20" s="148"/>
      <c r="N20" s="148"/>
      <c r="O20" s="148"/>
      <c r="P20" s="167"/>
    </row>
    <row r="21" spans="1:16" ht="53.4" customHeight="1" thickBot="1">
      <c r="A21" s="207"/>
      <c r="B21" s="208"/>
      <c r="C21" s="209"/>
      <c r="D21" s="312"/>
      <c r="E21" s="210"/>
      <c r="F21" s="211" t="s">
        <v>199</v>
      </c>
      <c r="G21" s="216">
        <v>0.5</v>
      </c>
      <c r="H21" s="211" t="s">
        <v>452</v>
      </c>
      <c r="I21" s="212"/>
      <c r="J21" s="183"/>
      <c r="K21" s="183"/>
      <c r="L21" s="183"/>
      <c r="M21" s="183"/>
      <c r="N21" s="183"/>
      <c r="O21" s="183"/>
      <c r="P21" s="184"/>
    </row>
    <row r="22" spans="1:16" ht="27" thickTop="1">
      <c r="A22" s="204" t="s">
        <v>380</v>
      </c>
      <c r="B22" s="201" t="s">
        <v>381</v>
      </c>
      <c r="C22" s="194">
        <v>5</v>
      </c>
      <c r="D22" s="310">
        <v>8.3299999999999999E-2</v>
      </c>
      <c r="E22" s="195">
        <v>0.5</v>
      </c>
      <c r="F22" s="196" t="s">
        <v>199</v>
      </c>
      <c r="G22" s="214">
        <v>0.1</v>
      </c>
      <c r="H22" s="196" t="s">
        <v>382</v>
      </c>
      <c r="I22" s="186"/>
      <c r="J22" s="158">
        <f>IF(G22=1, I22, SUMPRODUCT(I22:I29, G22:G29))</f>
        <v>0</v>
      </c>
      <c r="K22" s="158">
        <f>SUMIF(I22:I29, "&lt;&gt;", G22:G29) / SUMIF(G22:G29, "&lt;&gt;")</f>
        <v>0</v>
      </c>
      <c r="L22" s="158" t="str">
        <f>IFERROR(J22/K22, "No grades yet")</f>
        <v>No grades yet</v>
      </c>
      <c r="M22" s="158">
        <f>IFERROR(IF(K22 = 1, "Completed module", IF(((70 - J22) / (1 - K22)) &gt; 100, "Unattainable", IF(((70 - J22) / (1 - K22)) &lt; 0, "Already attained", ((70 - J22) / (1 - K22))))), "-")</f>
        <v>70</v>
      </c>
      <c r="N22" s="158">
        <f>IFERROR(IF(K22 = 1, "Completed module", IF(((60 - J22) / (1 - K22)) &gt; 100, "Unattainable", IF(((60 - J22) / (1 - K22)) &lt; 0, "Already attained", ((60 - J22) / (1 - K22))))), "-")</f>
        <v>60</v>
      </c>
      <c r="O22" s="158">
        <f>IFERROR(IF(K22 = 1, "Completed module", IF(((50 - J22) / (1 - K22)) &gt; 100, "Unattainable", IF(((50 - J22) / (1 - K22)) &lt; 0, "Already attained", ((50 - J22) / (1 - K22))))), "-")</f>
        <v>50</v>
      </c>
      <c r="P22" s="166">
        <f>IFERROR(IF(K22 = 1, "Completed module", IF(((40 - J22) / (1 - K22)) &gt; 100, "Unattainable", IF(((40 - J22) / (1 - K22)) &lt; 0, "Already attained", ((40 - J22) / (1 - K22))))), "-")</f>
        <v>40</v>
      </c>
    </row>
    <row r="23" spans="1:16">
      <c r="A23" s="205"/>
      <c r="B23" s="202"/>
      <c r="C23" s="191"/>
      <c r="D23" s="309"/>
      <c r="E23" s="192"/>
      <c r="F23" s="193" t="s">
        <v>201</v>
      </c>
      <c r="G23" s="213">
        <v>0.1</v>
      </c>
      <c r="H23" s="193" t="s">
        <v>383</v>
      </c>
      <c r="I23" s="185"/>
      <c r="J23" s="148"/>
      <c r="K23" s="148"/>
      <c r="L23" s="148"/>
      <c r="M23" s="148"/>
      <c r="N23" s="148"/>
      <c r="O23" s="148"/>
      <c r="P23" s="167"/>
    </row>
    <row r="24" spans="1:16">
      <c r="A24" s="205"/>
      <c r="B24" s="202"/>
      <c r="C24" s="191"/>
      <c r="D24" s="309"/>
      <c r="E24" s="192"/>
      <c r="F24" s="193" t="s">
        <v>199</v>
      </c>
      <c r="G24" s="213">
        <v>0.1</v>
      </c>
      <c r="H24" s="193" t="s">
        <v>384</v>
      </c>
      <c r="I24" s="185"/>
      <c r="J24" s="148"/>
      <c r="K24" s="148"/>
      <c r="L24" s="148"/>
      <c r="M24" s="148"/>
      <c r="N24" s="148"/>
      <c r="O24" s="148"/>
      <c r="P24" s="167"/>
    </row>
    <row r="25" spans="1:16">
      <c r="A25" s="205"/>
      <c r="B25" s="202"/>
      <c r="C25" s="191"/>
      <c r="D25" s="309"/>
      <c r="E25" s="192"/>
      <c r="F25" s="193" t="s">
        <v>199</v>
      </c>
      <c r="G25" s="213">
        <v>0.1</v>
      </c>
      <c r="H25" s="193" t="s">
        <v>385</v>
      </c>
      <c r="I25" s="185"/>
      <c r="J25" s="148"/>
      <c r="K25" s="148"/>
      <c r="L25" s="148"/>
      <c r="M25" s="148"/>
      <c r="N25" s="148"/>
      <c r="O25" s="148"/>
      <c r="P25" s="167"/>
    </row>
    <row r="26" spans="1:16">
      <c r="A26" s="205"/>
      <c r="B26" s="202"/>
      <c r="C26" s="191"/>
      <c r="D26" s="309"/>
      <c r="E26" s="192"/>
      <c r="F26" s="193" t="s">
        <v>199</v>
      </c>
      <c r="G26" s="213">
        <v>0.1</v>
      </c>
      <c r="H26" s="193" t="s">
        <v>386</v>
      </c>
      <c r="I26" s="185"/>
      <c r="J26" s="148"/>
      <c r="K26" s="148"/>
      <c r="L26" s="148"/>
      <c r="M26" s="148"/>
      <c r="N26" s="148"/>
      <c r="O26" s="148"/>
      <c r="P26" s="167"/>
    </row>
    <row r="27" spans="1:16" ht="42" customHeight="1">
      <c r="A27" s="205"/>
      <c r="B27" s="202"/>
      <c r="C27" s="191"/>
      <c r="D27" s="309"/>
      <c r="E27" s="192"/>
      <c r="F27" s="193" t="s">
        <v>199</v>
      </c>
      <c r="G27" s="213">
        <v>0.1</v>
      </c>
      <c r="H27" s="193" t="s">
        <v>387</v>
      </c>
      <c r="I27" s="185"/>
      <c r="J27" s="148"/>
      <c r="K27" s="148"/>
      <c r="L27" s="148"/>
      <c r="M27" s="148"/>
      <c r="N27" s="148"/>
      <c r="O27" s="148"/>
      <c r="P27" s="167"/>
    </row>
    <row r="28" spans="1:16">
      <c r="A28" s="205"/>
      <c r="B28" s="202"/>
      <c r="C28" s="191"/>
      <c r="D28" s="309"/>
      <c r="E28" s="192"/>
      <c r="F28" s="193" t="s">
        <v>201</v>
      </c>
      <c r="G28" s="213">
        <v>0.1</v>
      </c>
      <c r="H28" s="193" t="s">
        <v>388</v>
      </c>
      <c r="I28" s="185"/>
      <c r="J28" s="148"/>
      <c r="K28" s="148"/>
      <c r="L28" s="148"/>
      <c r="M28" s="148"/>
      <c r="N28" s="148"/>
      <c r="O28" s="148"/>
      <c r="P28" s="167"/>
    </row>
    <row r="29" spans="1:16" ht="13.8" thickBot="1">
      <c r="A29" s="207"/>
      <c r="B29" s="208"/>
      <c r="C29" s="209"/>
      <c r="D29" s="312"/>
      <c r="E29" s="210"/>
      <c r="F29" s="211" t="s">
        <v>201</v>
      </c>
      <c r="G29" s="216">
        <v>0.3</v>
      </c>
      <c r="H29" s="211" t="s">
        <v>389</v>
      </c>
      <c r="I29" s="212"/>
      <c r="J29" s="183"/>
      <c r="K29" s="183"/>
      <c r="L29" s="183"/>
      <c r="M29" s="183"/>
      <c r="N29" s="183"/>
      <c r="O29" s="183"/>
      <c r="P29" s="184"/>
    </row>
    <row r="30" spans="1:16" ht="13.8" thickTop="1">
      <c r="A30" s="204" t="s">
        <v>390</v>
      </c>
      <c r="B30" s="201" t="s">
        <v>391</v>
      </c>
      <c r="C30" s="194">
        <v>5</v>
      </c>
      <c r="D30" s="310">
        <v>8.3299999999999999E-2</v>
      </c>
      <c r="E30" s="195">
        <v>0.5</v>
      </c>
      <c r="F30" s="196" t="s">
        <v>201</v>
      </c>
      <c r="G30" s="214">
        <v>0.2</v>
      </c>
      <c r="H30" s="196" t="s">
        <v>392</v>
      </c>
      <c r="I30" s="186"/>
      <c r="J30" s="158">
        <f>IF(G30=1, I30, SUMPRODUCT(I30:I33, G30:G33))</f>
        <v>0</v>
      </c>
      <c r="K30" s="158">
        <f>SUMIF(I30:I33, "&lt;&gt;", G30:G33) / SUMIF(G30:G33, "&lt;&gt;")</f>
        <v>0</v>
      </c>
      <c r="L30" s="158" t="str">
        <f>IFERROR(J30/K30, "No grades yet")</f>
        <v>No grades yet</v>
      </c>
      <c r="M30" s="158">
        <f>IFERROR(IF(K30 = 1, "Completed module", IF(((70 - J30) / (1 - K30)) &gt; 100, "Unattainable", IF(((70 - J30) / (1 - K30)) &lt; 0, "Already attained", ((70 - J30) / (1 - K30))))), "-")</f>
        <v>70</v>
      </c>
      <c r="N30" s="158">
        <f>IFERROR(IF(K30 = 1, "Completed module", IF(((60 - J30) / (1 - K30)) &gt; 100, "Unattainable", IF(((60 - J30) / (1 - K30)) &lt; 0, "Already attained", ((60 - J30) / (1 - K30))))), "-")</f>
        <v>60</v>
      </c>
      <c r="O30" s="158">
        <f>IFERROR(IF(K30 = 1, "Completed module", IF(((50 - J30) / (1 - K30)) &gt; 100, "Unattainable", IF(((50 - J30) / (1 - K30)) &lt; 0, "Already attained", ((50 - J30) / (1 - K30))))), "-")</f>
        <v>50</v>
      </c>
      <c r="P30" s="166">
        <f>IFERROR(IF(K30 = 1, "Completed module", IF(((40 - J30) / (1 - K30)) &gt; 100, "Unattainable", IF(((40 - J30) / (1 - K30)) &lt; 0, "Already attained", ((40 - J30) / (1 - K30))))), "-")</f>
        <v>40</v>
      </c>
    </row>
    <row r="31" spans="1:16" ht="26.4">
      <c r="A31" s="205"/>
      <c r="B31" s="202"/>
      <c r="C31" s="191"/>
      <c r="D31" s="309"/>
      <c r="E31" s="192"/>
      <c r="F31" s="193" t="s">
        <v>337</v>
      </c>
      <c r="G31" s="213">
        <v>0.5</v>
      </c>
      <c r="H31" s="193" t="s">
        <v>393</v>
      </c>
      <c r="I31" s="185"/>
      <c r="J31" s="148"/>
      <c r="K31" s="148"/>
      <c r="L31" s="148"/>
      <c r="M31" s="148"/>
      <c r="N31" s="148"/>
      <c r="O31" s="148"/>
      <c r="P31" s="167"/>
    </row>
    <row r="32" spans="1:16">
      <c r="A32" s="205"/>
      <c r="B32" s="202"/>
      <c r="C32" s="191"/>
      <c r="D32" s="309"/>
      <c r="E32" s="192"/>
      <c r="F32" s="193" t="s">
        <v>199</v>
      </c>
      <c r="G32" s="213">
        <v>0.15</v>
      </c>
      <c r="H32" s="193" t="s">
        <v>394</v>
      </c>
      <c r="I32" s="185"/>
      <c r="J32" s="148"/>
      <c r="K32" s="148"/>
      <c r="L32" s="148"/>
      <c r="M32" s="148"/>
      <c r="N32" s="148"/>
      <c r="O32" s="148"/>
      <c r="P32" s="167"/>
    </row>
    <row r="33" spans="1:16" ht="13.8" thickBot="1">
      <c r="A33" s="207"/>
      <c r="B33" s="208"/>
      <c r="C33" s="209"/>
      <c r="D33" s="312"/>
      <c r="E33" s="210"/>
      <c r="F33" s="211" t="s">
        <v>199</v>
      </c>
      <c r="G33" s="216">
        <v>0.15</v>
      </c>
      <c r="H33" s="211" t="s">
        <v>395</v>
      </c>
      <c r="I33" s="212"/>
      <c r="J33" s="183"/>
      <c r="K33" s="183"/>
      <c r="L33" s="183"/>
      <c r="M33" s="183"/>
      <c r="N33" s="183"/>
      <c r="O33" s="183"/>
      <c r="P33" s="184"/>
    </row>
    <row r="34" spans="1:16" ht="14.4" thickTop="1" thickBot="1">
      <c r="A34" s="227" t="s">
        <v>396</v>
      </c>
      <c r="B34" s="228" t="s">
        <v>397</v>
      </c>
      <c r="C34" s="229">
        <v>5</v>
      </c>
      <c r="D34" s="314">
        <v>8.3299999999999999E-2</v>
      </c>
      <c r="E34" s="230">
        <v>0.5</v>
      </c>
      <c r="F34" s="306" t="s">
        <v>150</v>
      </c>
      <c r="G34" s="315">
        <v>1</v>
      </c>
      <c r="H34" s="306" t="s">
        <v>209</v>
      </c>
      <c r="I34" s="233"/>
      <c r="J34" s="234">
        <f>IF(G34=1, I34, SUMPRODUCT(I34:I34, G34:G34))</f>
        <v>0</v>
      </c>
      <c r="K34" s="234">
        <f>SUMIF(I34:I34, "&lt;&gt;", G34:G34) / SUMIF(G34:G34, "&lt;&gt;")</f>
        <v>0</v>
      </c>
      <c r="L34" s="234" t="str">
        <f>IFERROR(J34/K34, "No grades yet")</f>
        <v>No grades yet</v>
      </c>
      <c r="M34" s="234">
        <f>IFERROR(IF(K34 = 1, "Completed module", IF(((70 - J34) / (1 - K34)) &gt; 100, "Unattainable", IF(((70 - J34) / (1 - K34)) &lt; 0, "Already attained", ((70 - J34) / (1 - K34))))), "-")</f>
        <v>70</v>
      </c>
      <c r="N34" s="234">
        <f>IFERROR(IF(K34 = 1, "Completed module", IF(((60 - J34) / (1 - K34)) &gt; 100, "Unattainable", IF(((60 - J34) / (1 - K34)) &lt; 0, "Already attained", ((60 - J34) / (1 - K34))))), "-")</f>
        <v>60</v>
      </c>
      <c r="O34" s="234">
        <f>IFERROR(IF(K34 = 1, "Completed module", IF(((50 - J34) / (1 - K34)) &gt; 100, "Unattainable", IF(((50 - J34) / (1 - K34)) &lt; 0, "Already attained", ((50 - J34) / (1 - K34))))), "-")</f>
        <v>50</v>
      </c>
      <c r="P34" s="235">
        <f>IFERROR(IF(K34 = 1, "Completed module", IF(((40 - J34) / (1 - K34)) &gt; 100, "Unattainable", IF(((40 - J34) / (1 - K34)) &lt; 0, "Already attained", ((40 - J34) / (1 - K34))))), "-")</f>
        <v>40</v>
      </c>
    </row>
    <row r="35" spans="1:16" ht="14.4" thickTop="1" thickBot="1">
      <c r="A35" s="227" t="s">
        <v>398</v>
      </c>
      <c r="B35" s="228" t="s">
        <v>399</v>
      </c>
      <c r="C35" s="229">
        <v>5</v>
      </c>
      <c r="D35" s="314">
        <v>8.3299999999999999E-2</v>
      </c>
      <c r="E35" s="230">
        <v>0.5</v>
      </c>
      <c r="F35" s="306" t="s">
        <v>150</v>
      </c>
      <c r="G35" s="315">
        <v>1</v>
      </c>
      <c r="H35" s="306" t="s">
        <v>209</v>
      </c>
      <c r="I35" s="233"/>
      <c r="J35" s="234">
        <f>IF(G35=1, I35, SUMPRODUCT(I35:I35, G35:G35))</f>
        <v>0</v>
      </c>
      <c r="K35" s="234">
        <f>SUMIF(I35:I35, "&lt;&gt;", G35:G35) / SUMIF(G35:G35, "&lt;&gt;")</f>
        <v>0</v>
      </c>
      <c r="L35" s="234" t="str">
        <f>IFERROR(J35/K35, "No grades yet")</f>
        <v>No grades yet</v>
      </c>
      <c r="M35" s="234">
        <f>IFERROR(IF(K35 = 1, "Completed module", IF(((70 - J35) / (1 - K35)) &gt; 100, "Unattainable", IF(((70 - J35) / (1 - K35)) &lt; 0, "Already attained", ((70 - J35) / (1 - K35))))), "-")</f>
        <v>70</v>
      </c>
      <c r="N35" s="234">
        <f>IFERROR(IF(K35 = 1, "Completed module", IF(((60 - J35) / (1 - K35)) &gt; 100, "Unattainable", IF(((60 - J35) / (1 - K35)) &lt; 0, "Already attained", ((60 - J35) / (1 - K35))))), "-")</f>
        <v>60</v>
      </c>
      <c r="O35" s="234">
        <f>IFERROR(IF(K35 = 1, "Completed module", IF(((50 - J35) / (1 - K35)) &gt; 100, "Unattainable", IF(((50 - J35) / (1 - K35)) &lt; 0, "Already attained", ((50 - J35) / (1 - K35))))), "-")</f>
        <v>50</v>
      </c>
      <c r="P35" s="235">
        <f>IFERROR(IF(K35 = 1, "Completed module", IF(((40 - J35) / (1 - K35)) &gt; 100, "Unattainable", IF(((40 - J35) / (1 - K35)) &lt; 0, "Already attained", ((40 - J35) / (1 - K35))))), "-")</f>
        <v>40</v>
      </c>
    </row>
    <row r="36" spans="1:16" ht="13.8" thickTop="1">
      <c r="A36" s="204" t="s">
        <v>468</v>
      </c>
      <c r="B36" s="201" t="s">
        <v>469</v>
      </c>
      <c r="C36" s="194">
        <v>5</v>
      </c>
      <c r="D36" s="310">
        <v>8.3299999999999999E-2</v>
      </c>
      <c r="E36" s="195">
        <v>0.5</v>
      </c>
      <c r="F36" s="196" t="s">
        <v>150</v>
      </c>
      <c r="G36" s="214">
        <v>0.5</v>
      </c>
      <c r="H36" s="196" t="s">
        <v>209</v>
      </c>
      <c r="I36" s="186"/>
      <c r="J36" s="158">
        <f>IF(G36=1, I36, SUMPRODUCT(I36:I37, G36:G37))</f>
        <v>0</v>
      </c>
      <c r="K36" s="158">
        <f>SUMIF(I36:I37, "&lt;&gt;", G36:G37) / SUMIF(G36:G37, "&lt;&gt;")</f>
        <v>0</v>
      </c>
      <c r="L36" s="158" t="str">
        <f>IFERROR(J36/K36, "No grades yet")</f>
        <v>No grades yet</v>
      </c>
      <c r="M36" s="158">
        <f>IFERROR(IF(K36 = 1, "Completed module", IF(((70 - J36) / (1 - K36)) &gt; 100, "Unattainable", IF(((70 - J36) / (1 - K36)) &lt; 0, "Already attained", ((70 - J36) / (1 - K36))))), "-")</f>
        <v>70</v>
      </c>
      <c r="N36" s="158">
        <f>IFERROR(IF(K36 = 1, "Completed module", IF(((60 - J36) / (1 - K36)) &gt; 100, "Unattainable", IF(((60 - J36) / (1 - K36)) &lt; 0, "Already attained", ((60 - J36) / (1 - K36))))), "-")</f>
        <v>60</v>
      </c>
      <c r="O36" s="158">
        <f>IFERROR(IF(K36 = 1, "Completed module", IF(((50 - J36) / (1 - K36)) &gt; 100, "Unattainable", IF(((50 - J36) / (1 - K36)) &lt; 0, "Already attained", ((50 - J36) / (1 - K36))))), "-")</f>
        <v>50</v>
      </c>
      <c r="P36" s="166">
        <f>IFERROR(IF(K36 = 1, "Completed module", IF(((40 - J36) / (1 - K36)) &gt; 100, "Unattainable", IF(((40 - J36) / (1 - K36)) &lt; 0, "Already attained", ((40 - J36) / (1 - K36))))), "-")</f>
        <v>40</v>
      </c>
    </row>
    <row r="37" spans="1:16" ht="13.8" thickBot="1">
      <c r="A37" s="207"/>
      <c r="B37" s="208"/>
      <c r="C37" s="209"/>
      <c r="D37" s="312"/>
      <c r="E37" s="210"/>
      <c r="F37" s="211" t="s">
        <v>199</v>
      </c>
      <c r="G37" s="216">
        <v>0.5</v>
      </c>
      <c r="H37" s="211" t="s">
        <v>470</v>
      </c>
      <c r="I37" s="212"/>
      <c r="J37" s="183"/>
      <c r="K37" s="183"/>
      <c r="L37" s="183"/>
      <c r="M37" s="183"/>
      <c r="N37" s="183"/>
      <c r="O37" s="183"/>
      <c r="P37" s="184"/>
    </row>
    <row r="38" spans="1:16" ht="13.8" thickTop="1">
      <c r="A38" s="204" t="s">
        <v>345</v>
      </c>
      <c r="B38" s="201" t="s">
        <v>346</v>
      </c>
      <c r="C38" s="194">
        <v>5</v>
      </c>
      <c r="D38" s="310">
        <v>8.3299999999999999E-2</v>
      </c>
      <c r="E38" s="195">
        <v>0.5</v>
      </c>
      <c r="F38" s="196" t="s">
        <v>201</v>
      </c>
      <c r="G38" s="214">
        <v>0.2</v>
      </c>
      <c r="H38" s="196" t="s">
        <v>347</v>
      </c>
      <c r="I38" s="186"/>
      <c r="J38" s="158">
        <f>IF(G38=1, I38, SUMPRODUCT(I38:I39, G38:G39))</f>
        <v>0</v>
      </c>
      <c r="K38" s="158">
        <f>SUMIF(I38:I39, "&lt;&gt;", G38:G39) / SUMIF(G38:G39, "&lt;&gt;")</f>
        <v>0</v>
      </c>
      <c r="L38" s="158" t="str">
        <f>IFERROR(J38/K38, "No grades yet")</f>
        <v>No grades yet</v>
      </c>
      <c r="M38" s="158">
        <f>IFERROR(IF(K38 = 1, "Completed module", IF(((70 - J38) / (1 - K38)) &gt; 100, "Unattainable", IF(((70 - J38) / (1 - K38)) &lt; 0, "Already attained", ((70 - J38) / (1 - K38))))), "-")</f>
        <v>70</v>
      </c>
      <c r="N38" s="158">
        <f>IFERROR(IF(K38 = 1, "Completed module", IF(((60 - J38) / (1 - K38)) &gt; 100, "Unattainable", IF(((60 - J38) / (1 - K38)) &lt; 0, "Already attained", ((60 - J38) / (1 - K38))))), "-")</f>
        <v>60</v>
      </c>
      <c r="O38" s="158">
        <f>IFERROR(IF(K38 = 1, "Completed module", IF(((50 - J38) / (1 - K38)) &gt; 100, "Unattainable", IF(((50 - J38) / (1 - K38)) &lt; 0, "Already attained", ((50 - J38) / (1 - K38))))), "-")</f>
        <v>50</v>
      </c>
      <c r="P38" s="166">
        <f>IFERROR(IF(K38 = 1, "Completed module", IF(((40 - J38) / (1 - K38)) &gt; 100, "Unattainable", IF(((40 - J38) / (1 - K38)) &lt; 0, "Already attained", ((40 - J38) / (1 - K38))))), "-")</f>
        <v>40</v>
      </c>
    </row>
    <row r="39" spans="1:16" ht="13.8" thickBot="1">
      <c r="A39" s="207"/>
      <c r="B39" s="208"/>
      <c r="C39" s="209"/>
      <c r="D39" s="312"/>
      <c r="E39" s="210"/>
      <c r="F39" s="211" t="s">
        <v>337</v>
      </c>
      <c r="G39" s="216">
        <v>0.8</v>
      </c>
      <c r="H39" s="211" t="s">
        <v>471</v>
      </c>
      <c r="I39" s="212"/>
      <c r="J39" s="183"/>
      <c r="K39" s="183"/>
      <c r="L39" s="183"/>
      <c r="M39" s="183"/>
      <c r="N39" s="183"/>
      <c r="O39" s="183"/>
      <c r="P39" s="184"/>
    </row>
    <row r="40" spans="1:16" ht="14.4" thickTop="1" thickBot="1">
      <c r="A40" s="227" t="s">
        <v>472</v>
      </c>
      <c r="B40" s="228" t="s">
        <v>473</v>
      </c>
      <c r="C40" s="229">
        <v>5</v>
      </c>
      <c r="D40" s="314">
        <v>8.3299999999999999E-2</v>
      </c>
      <c r="E40" s="230">
        <v>0.5</v>
      </c>
      <c r="F40" s="306" t="s">
        <v>150</v>
      </c>
      <c r="G40" s="315">
        <v>1</v>
      </c>
      <c r="H40" s="306" t="s">
        <v>209</v>
      </c>
      <c r="I40" s="233"/>
      <c r="J40" s="234">
        <f>IF(G40=1, I40, SUMPRODUCT(I40:I40, G40:G40))</f>
        <v>0</v>
      </c>
      <c r="K40" s="234">
        <f>SUMIF(I40:I40, "&lt;&gt;", G40:G40) / SUMIF(G40:G40, "&lt;&gt;")</f>
        <v>0</v>
      </c>
      <c r="L40" s="234" t="str">
        <f>IFERROR(J40/K40, "No grades yet")</f>
        <v>No grades yet</v>
      </c>
      <c r="M40" s="234">
        <f>IFERROR(IF(K40 = 1, "Completed module", IF(((70 - J40) / (1 - K40)) &gt; 100, "Unattainable", IF(((70 - J40) / (1 - K40)) &lt; 0, "Already attained", ((70 - J40) / (1 - K40))))), "-")</f>
        <v>70</v>
      </c>
      <c r="N40" s="234">
        <f>IFERROR(IF(K40 = 1, "Completed module", IF(((60 - J40) / (1 - K40)) &gt; 100, "Unattainable", IF(((60 - J40) / (1 - K40)) &lt; 0, "Already attained", ((60 - J40) / (1 - K40))))), "-")</f>
        <v>60</v>
      </c>
      <c r="O40" s="234">
        <f>IFERROR(IF(K40 = 1, "Completed module", IF(((50 - J40) / (1 - K40)) &gt; 100, "Unattainable", IF(((50 - J40) / (1 - K40)) &lt; 0, "Already attained", ((50 - J40) / (1 - K40))))), "-")</f>
        <v>50</v>
      </c>
      <c r="P40" s="235">
        <f>IFERROR(IF(K40 = 1, "Completed module", IF(((40 - J40) / (1 - K40)) &gt; 100, "Unattainable", IF(((40 - J40) / (1 - K40)) &lt; 0, "Already attained", ((40 - J40) / (1 - K40))))), "-")</f>
        <v>40</v>
      </c>
    </row>
    <row r="41" spans="1:16" ht="13.8" thickTop="1">
      <c r="A41" s="204" t="s">
        <v>474</v>
      </c>
      <c r="B41" s="201" t="s">
        <v>475</v>
      </c>
      <c r="C41" s="194">
        <v>5</v>
      </c>
      <c r="D41" s="310">
        <v>8.3299999999999999E-2</v>
      </c>
      <c r="E41" s="195">
        <v>0.5</v>
      </c>
      <c r="F41" s="196" t="s">
        <v>150</v>
      </c>
      <c r="G41" s="214">
        <v>0.8</v>
      </c>
      <c r="H41" s="196" t="s">
        <v>209</v>
      </c>
      <c r="I41" s="186"/>
      <c r="J41" s="158">
        <f>IF(G41=1, I41, SUMPRODUCT(I41:I46, G41:G46))</f>
        <v>0</v>
      </c>
      <c r="K41" s="158">
        <f>SUMIF(I41:I46, "&lt;&gt;", G41:G46) / SUMIF(G41:G46, "&lt;&gt;")</f>
        <v>0</v>
      </c>
      <c r="L41" s="158" t="str">
        <f>IFERROR(J41/K41, "No grades yet")</f>
        <v>No grades yet</v>
      </c>
      <c r="M41" s="158">
        <f>IFERROR(IF(K41 = 1, "Completed module", IF(((70 - J41) / (1 - K41)) &gt; 100, "Unattainable", IF(((70 - J41) / (1 - K41)) &lt; 0, "Already attained", ((70 - J41) / (1 - K41))))), "-")</f>
        <v>70</v>
      </c>
      <c r="N41" s="158">
        <f>IFERROR(IF(K41 = 1, "Completed module", IF(((60 - J41) / (1 - K41)) &gt; 100, "Unattainable", IF(((60 - J41) / (1 - K41)) &lt; 0, "Already attained", ((60 - J41) / (1 - K41))))), "-")</f>
        <v>60</v>
      </c>
      <c r="O41" s="158">
        <f>IFERROR(IF(K41 = 1, "Completed module", IF(((50 - J41) / (1 - K41)) &gt; 100, "Unattainable", IF(((50 - J41) / (1 - K41)) &lt; 0, "Already attained", ((50 - J41) / (1 - K41))))), "-")</f>
        <v>50</v>
      </c>
      <c r="P41" s="166">
        <f>IFERROR(IF(K41 = 1, "Completed module", IF(((40 - J41) / (1 - K41)) &gt; 100, "Unattainable", IF(((40 - J41) / (1 - K41)) &lt; 0, "Already attained", ((40 - J41) / (1 - K41))))), "-")</f>
        <v>40</v>
      </c>
    </row>
    <row r="42" spans="1:16">
      <c r="A42" s="205"/>
      <c r="B42" s="202"/>
      <c r="C42" s="191"/>
      <c r="D42" s="309"/>
      <c r="E42" s="192"/>
      <c r="F42" s="193" t="s">
        <v>199</v>
      </c>
      <c r="G42" s="213">
        <v>0.04</v>
      </c>
      <c r="H42" s="193" t="s">
        <v>476</v>
      </c>
      <c r="I42" s="185"/>
      <c r="J42" s="148"/>
      <c r="K42" s="148"/>
      <c r="L42" s="148"/>
      <c r="M42" s="148"/>
      <c r="N42" s="148"/>
      <c r="O42" s="148"/>
      <c r="P42" s="167"/>
    </row>
    <row r="43" spans="1:16">
      <c r="A43" s="205"/>
      <c r="B43" s="202"/>
      <c r="C43" s="191"/>
      <c r="D43" s="309"/>
      <c r="E43" s="192"/>
      <c r="F43" s="193" t="s">
        <v>199</v>
      </c>
      <c r="G43" s="213">
        <v>0.04</v>
      </c>
      <c r="H43" s="193" t="s">
        <v>477</v>
      </c>
      <c r="I43" s="185"/>
      <c r="J43" s="148"/>
      <c r="K43" s="148"/>
      <c r="L43" s="148"/>
      <c r="M43" s="148"/>
      <c r="N43" s="148"/>
      <c r="O43" s="148"/>
      <c r="P43" s="167"/>
    </row>
    <row r="44" spans="1:16">
      <c r="A44" s="205"/>
      <c r="B44" s="202"/>
      <c r="C44" s="191"/>
      <c r="D44" s="309"/>
      <c r="E44" s="192"/>
      <c r="F44" s="193" t="s">
        <v>199</v>
      </c>
      <c r="G44" s="213">
        <v>0.04</v>
      </c>
      <c r="H44" s="193" t="s">
        <v>478</v>
      </c>
      <c r="I44" s="185"/>
      <c r="J44" s="148"/>
      <c r="K44" s="148"/>
      <c r="L44" s="148"/>
      <c r="M44" s="148"/>
      <c r="N44" s="148"/>
      <c r="O44" s="148"/>
      <c r="P44" s="167"/>
    </row>
    <row r="45" spans="1:16">
      <c r="A45" s="205"/>
      <c r="B45" s="202"/>
      <c r="C45" s="191"/>
      <c r="D45" s="309"/>
      <c r="E45" s="192"/>
      <c r="F45" s="193" t="s">
        <v>199</v>
      </c>
      <c r="G45" s="213">
        <v>0.04</v>
      </c>
      <c r="H45" s="193" t="s">
        <v>479</v>
      </c>
      <c r="I45" s="185"/>
      <c r="J45" s="148"/>
      <c r="K45" s="148"/>
      <c r="L45" s="148"/>
      <c r="M45" s="148"/>
      <c r="N45" s="148"/>
      <c r="O45" s="148"/>
      <c r="P45" s="167"/>
    </row>
    <row r="46" spans="1:16" ht="13.8" thickBot="1">
      <c r="A46" s="207"/>
      <c r="B46" s="208"/>
      <c r="C46" s="209"/>
      <c r="D46" s="312"/>
      <c r="E46" s="210"/>
      <c r="F46" s="211" t="s">
        <v>199</v>
      </c>
      <c r="G46" s="216">
        <v>0.04</v>
      </c>
      <c r="H46" s="211" t="s">
        <v>480</v>
      </c>
      <c r="I46" s="212"/>
      <c r="J46" s="183"/>
      <c r="K46" s="183"/>
      <c r="L46" s="183"/>
      <c r="M46" s="183"/>
      <c r="N46" s="183"/>
      <c r="O46" s="183"/>
      <c r="P46" s="184"/>
    </row>
    <row r="47" spans="1:16" ht="13.8" thickTop="1">
      <c r="A47" s="204" t="s">
        <v>492</v>
      </c>
      <c r="B47" s="201" t="s">
        <v>493</v>
      </c>
      <c r="C47" s="194">
        <v>5</v>
      </c>
      <c r="D47" s="310">
        <v>8.3299999999999999E-2</v>
      </c>
      <c r="E47" s="195">
        <v>0.5</v>
      </c>
      <c r="F47" s="196" t="s">
        <v>150</v>
      </c>
      <c r="G47" s="214">
        <v>0.8</v>
      </c>
      <c r="H47" s="196" t="s">
        <v>209</v>
      </c>
      <c r="I47" s="186"/>
      <c r="J47" s="158">
        <f>IF(G47=1, I47, SUMPRODUCT(I47:I49, G47:G49))</f>
        <v>0</v>
      </c>
      <c r="K47" s="158">
        <f>SUMIF(I47:I49, "&lt;&gt;", G47:G49) / SUMIF(G47:G49, "&lt;&gt;")</f>
        <v>0</v>
      </c>
      <c r="L47" s="158" t="str">
        <f>IFERROR(J47/K47, "No grades yet")</f>
        <v>No grades yet</v>
      </c>
      <c r="M47" s="158">
        <f>IFERROR(IF(K47 = 1, "Completed module", IF(((70 - J47) / (1 - K47)) &gt; 100, "Unattainable", IF(((70 - J47) / (1 - K47)) &lt; 0, "Already attained", ((70 - J47) / (1 - K47))))), "-")</f>
        <v>70</v>
      </c>
      <c r="N47" s="158">
        <f>IFERROR(IF(K47 = 1, "Completed module", IF(((60 - J47) / (1 - K47)) &gt; 100, "Unattainable", IF(((60 - J47) / (1 - K47)) &lt; 0, "Already attained", ((60 - J47) / (1 - K47))))), "-")</f>
        <v>60</v>
      </c>
      <c r="O47" s="158">
        <f>IFERROR(IF(K47 = 1, "Completed module", IF(((50 - J47) / (1 - K47)) &gt; 100, "Unattainable", IF(((50 - J47) / (1 - K47)) &lt; 0, "Already attained", ((50 - J47) / (1 - K47))))), "-")</f>
        <v>50</v>
      </c>
      <c r="P47" s="166">
        <f>IFERROR(IF(K47 = 1, "Completed module", IF(((40 - J47) / (1 - K47)) &gt; 100, "Unattainable", IF(((40 - J47) / (1 - K47)) &lt; 0, "Already attained", ((40 - J47) / (1 - K47))))), "-")</f>
        <v>40</v>
      </c>
    </row>
    <row r="48" spans="1:16" ht="22.8" customHeight="1">
      <c r="A48" s="205"/>
      <c r="B48" s="202"/>
      <c r="C48" s="191"/>
      <c r="D48" s="309"/>
      <c r="E48" s="192"/>
      <c r="F48" s="193" t="s">
        <v>199</v>
      </c>
      <c r="G48" s="213">
        <v>0.1</v>
      </c>
      <c r="H48" s="193" t="s">
        <v>494</v>
      </c>
      <c r="I48" s="185"/>
      <c r="J48" s="148"/>
      <c r="K48" s="148"/>
      <c r="L48" s="148"/>
      <c r="M48" s="148"/>
      <c r="N48" s="148"/>
      <c r="O48" s="148"/>
      <c r="P48" s="167"/>
    </row>
    <row r="49" spans="1:16" ht="22.8" customHeight="1" thickBot="1">
      <c r="A49" s="207"/>
      <c r="B49" s="208"/>
      <c r="C49" s="209"/>
      <c r="D49" s="312"/>
      <c r="E49" s="210"/>
      <c r="F49" s="211" t="s">
        <v>191</v>
      </c>
      <c r="G49" s="216">
        <v>0.1</v>
      </c>
      <c r="H49" s="211" t="s">
        <v>495</v>
      </c>
      <c r="I49" s="212"/>
      <c r="J49" s="183"/>
      <c r="K49" s="183"/>
      <c r="L49" s="183"/>
      <c r="M49" s="183"/>
      <c r="N49" s="183"/>
      <c r="O49" s="183"/>
      <c r="P49" s="184"/>
    </row>
    <row r="50" spans="1:16" ht="13.8" thickTop="1">
      <c r="A50" s="204" t="s">
        <v>496</v>
      </c>
      <c r="B50" s="201" t="s">
        <v>497</v>
      </c>
      <c r="C50" s="194">
        <v>5</v>
      </c>
      <c r="D50" s="310">
        <v>8.3299999999999999E-2</v>
      </c>
      <c r="E50" s="195">
        <v>0.5</v>
      </c>
      <c r="F50" s="196" t="s">
        <v>150</v>
      </c>
      <c r="G50" s="214">
        <v>0.76</v>
      </c>
      <c r="H50" s="196" t="s">
        <v>228</v>
      </c>
      <c r="I50" s="186"/>
      <c r="J50" s="158">
        <f>IF(G50=1, I50, SUMPRODUCT(I50:I53, G50:G53))</f>
        <v>0</v>
      </c>
      <c r="K50" s="158">
        <f>SUMIF(I50:I53, "&lt;&gt;", G50:G53) / SUMIF(G50:G53, "&lt;&gt;")</f>
        <v>0</v>
      </c>
      <c r="L50" s="158" t="str">
        <f>IFERROR(J50/K50, "No grades yet")</f>
        <v>No grades yet</v>
      </c>
      <c r="M50" s="158">
        <f>IFERROR(IF(K50 = 1, "Completed module", IF(((70 - J50) / (1 - K50)) &gt; 100, "Unattainable", IF(((70 - J50) / (1 - K50)) &lt; 0, "Already attained", ((70 - J50) / (1 - K50))))), "-")</f>
        <v>70</v>
      </c>
      <c r="N50" s="158">
        <f>IFERROR(IF(K50 = 1, "Completed module", IF(((60 - J50) / (1 - K50)) &gt; 100, "Unattainable", IF(((60 - J50) / (1 - K50)) &lt; 0, "Already attained", ((60 - J50) / (1 - K50))))), "-")</f>
        <v>60</v>
      </c>
      <c r="O50" s="158">
        <f>IFERROR(IF(K50 = 1, "Completed module", IF(((50 - J50) / (1 - K50)) &gt; 100, "Unattainable", IF(((50 - J50) / (1 - K50)) &lt; 0, "Already attained", ((50 - J50) / (1 - K50))))), "-")</f>
        <v>50</v>
      </c>
      <c r="P50" s="166">
        <f>IFERROR(IF(K50 = 1, "Completed module", IF(((40 - J50) / (1 - K50)) &gt; 100, "Unattainable", IF(((40 - J50) / (1 - K50)) &lt; 0, "Already attained", ((40 - J50) / (1 - K50))))), "-")</f>
        <v>40</v>
      </c>
    </row>
    <row r="51" spans="1:16" ht="22.8" customHeight="1">
      <c r="A51" s="205"/>
      <c r="B51" s="202"/>
      <c r="C51" s="191"/>
      <c r="D51" s="309"/>
      <c r="E51" s="192"/>
      <c r="F51" s="193" t="s">
        <v>191</v>
      </c>
      <c r="G51" s="213">
        <v>0.08</v>
      </c>
      <c r="H51" s="193" t="s">
        <v>311</v>
      </c>
      <c r="I51" s="185"/>
      <c r="J51" s="148"/>
      <c r="K51" s="148"/>
      <c r="L51" s="148"/>
      <c r="M51" s="148"/>
      <c r="N51" s="148"/>
      <c r="O51" s="148"/>
      <c r="P51" s="167"/>
    </row>
    <row r="52" spans="1:16" ht="22.8" customHeight="1">
      <c r="A52" s="205"/>
      <c r="B52" s="202"/>
      <c r="C52" s="191"/>
      <c r="D52" s="309"/>
      <c r="E52" s="192"/>
      <c r="F52" s="193" t="s">
        <v>191</v>
      </c>
      <c r="G52" s="213">
        <v>0.08</v>
      </c>
      <c r="H52" s="193" t="s">
        <v>312</v>
      </c>
      <c r="I52" s="185"/>
      <c r="J52" s="148"/>
      <c r="K52" s="148"/>
      <c r="L52" s="148"/>
      <c r="M52" s="148"/>
      <c r="N52" s="148"/>
      <c r="O52" s="148"/>
      <c r="P52" s="167"/>
    </row>
    <row r="53" spans="1:16" ht="22.8" customHeight="1" thickBot="1">
      <c r="A53" s="207"/>
      <c r="B53" s="208"/>
      <c r="C53" s="209"/>
      <c r="D53" s="312"/>
      <c r="E53" s="210"/>
      <c r="F53" s="211" t="s">
        <v>191</v>
      </c>
      <c r="G53" s="216">
        <v>0.08</v>
      </c>
      <c r="H53" s="211" t="s">
        <v>498</v>
      </c>
      <c r="I53" s="212"/>
      <c r="J53" s="183"/>
      <c r="K53" s="183"/>
      <c r="L53" s="183"/>
      <c r="M53" s="183"/>
      <c r="N53" s="183"/>
      <c r="O53" s="183"/>
      <c r="P53" s="184"/>
    </row>
    <row r="54" spans="1:16" ht="13.8" thickTop="1">
      <c r="A54" s="204" t="s">
        <v>407</v>
      </c>
      <c r="B54" s="201" t="s">
        <v>408</v>
      </c>
      <c r="C54" s="194">
        <v>5</v>
      </c>
      <c r="D54" s="310">
        <v>8.3299999999999999E-2</v>
      </c>
      <c r="E54" s="195">
        <v>0.5</v>
      </c>
      <c r="F54" s="196" t="s">
        <v>150</v>
      </c>
      <c r="G54" s="214">
        <v>0.8</v>
      </c>
      <c r="H54" s="196" t="s">
        <v>209</v>
      </c>
      <c r="I54" s="186"/>
      <c r="J54" s="158">
        <f>IF(G54=1, I54, SUMPRODUCT(I54:I55, G54:G55))</f>
        <v>0</v>
      </c>
      <c r="K54" s="158">
        <f>SUMIF(I54:I55, "&lt;&gt;", G54:G55) / SUMIF(G54:G55, "&lt;&gt;")</f>
        <v>0</v>
      </c>
      <c r="L54" s="158" t="str">
        <f>IFERROR(J54/K54, "No grades yet")</f>
        <v>No grades yet</v>
      </c>
      <c r="M54" s="158">
        <f>IFERROR(IF(K54 = 1, "Completed module", IF(((70 - J54) / (1 - K54)) &gt; 100, "Unattainable", IF(((70 - J54) / (1 - K54)) &lt; 0, "Already attained", ((70 - J54) / (1 - K54))))), "-")</f>
        <v>70</v>
      </c>
      <c r="N54" s="158">
        <f>IFERROR(IF(K54 = 1, "Completed module", IF(((60 - J54) / (1 - K54)) &gt; 100, "Unattainable", IF(((60 - J54) / (1 - K54)) &lt; 0, "Already attained", ((60 - J54) / (1 - K54))))), "-")</f>
        <v>60</v>
      </c>
      <c r="O54" s="158">
        <f>IFERROR(IF(K54 = 1, "Completed module", IF(((50 - J54) / (1 - K54)) &gt; 100, "Unattainable", IF(((50 - J54) / (1 - K54)) &lt; 0, "Already attained", ((50 - J54) / (1 - K54))))), "-")</f>
        <v>50</v>
      </c>
      <c r="P54" s="166">
        <f>IFERROR(IF(K54 = 1, "Completed module", IF(((40 - J54) / (1 - K54)) &gt; 100, "Unattainable", IF(((40 - J54) / (1 - K54)) &lt; 0, "Already attained", ((40 - J54) / (1 - K54))))), "-")</f>
        <v>40</v>
      </c>
    </row>
    <row r="55" spans="1:16" ht="13.8" thickBot="1">
      <c r="A55" s="207"/>
      <c r="B55" s="208"/>
      <c r="C55" s="209"/>
      <c r="D55" s="312"/>
      <c r="E55" s="210"/>
      <c r="F55" s="211" t="s">
        <v>199</v>
      </c>
      <c r="G55" s="216">
        <v>0.2</v>
      </c>
      <c r="H55" s="211" t="s">
        <v>409</v>
      </c>
      <c r="I55" s="212"/>
      <c r="J55" s="183"/>
      <c r="K55" s="183"/>
      <c r="L55" s="183"/>
      <c r="M55" s="183"/>
      <c r="N55" s="183"/>
      <c r="O55" s="183"/>
      <c r="P55" s="184"/>
    </row>
    <row r="56" spans="1:16" ht="14.4" thickTop="1" thickBot="1">
      <c r="A56" s="227" t="s">
        <v>400</v>
      </c>
      <c r="B56" s="228" t="s">
        <v>401</v>
      </c>
      <c r="C56" s="229">
        <v>5</v>
      </c>
      <c r="D56" s="314">
        <v>8.3299999999999999E-2</v>
      </c>
      <c r="E56" s="230">
        <v>0.5</v>
      </c>
      <c r="F56" s="306" t="s">
        <v>150</v>
      </c>
      <c r="G56" s="315">
        <v>1</v>
      </c>
      <c r="H56" s="306" t="s">
        <v>209</v>
      </c>
      <c r="I56" s="233"/>
      <c r="J56" s="234">
        <f>IF(G56=1, I56, SUMPRODUCT(I56:I56, G56:G56))</f>
        <v>0</v>
      </c>
      <c r="K56" s="234">
        <f>SUMIF(I56:I56, "&lt;&gt;", G56:G56) / SUMIF(G56:G56, "&lt;&gt;")</f>
        <v>0</v>
      </c>
      <c r="L56" s="234" t="str">
        <f>IFERROR(J56/K56, "No grades yet")</f>
        <v>No grades yet</v>
      </c>
      <c r="M56" s="234">
        <f>IFERROR(IF(K56 = 1, "Completed module", IF(((70 - J56) / (1 - K56)) &gt; 100, "Unattainable", IF(((70 - J56) / (1 - K56)) &lt; 0, "Already attained", ((70 - J56) / (1 - K56))))), "-")</f>
        <v>70</v>
      </c>
      <c r="N56" s="234">
        <f>IFERROR(IF(K56 = 1, "Completed module", IF(((60 - J56) / (1 - K56)) &gt; 100, "Unattainable", IF(((60 - J56) / (1 - K56)) &lt; 0, "Already attained", ((60 - J56) / (1 - K56))))), "-")</f>
        <v>60</v>
      </c>
      <c r="O56" s="234">
        <f>IFERROR(IF(K56 = 1, "Completed module", IF(((50 - J56) / (1 - K56)) &gt; 100, "Unattainable", IF(((50 - J56) / (1 - K56)) &lt; 0, "Already attained", ((50 - J56) / (1 - K56))))), "-")</f>
        <v>50</v>
      </c>
      <c r="P56" s="235">
        <f>IFERROR(IF(K56 = 1, "Completed module", IF(((40 - J56) / (1 - K56)) &gt; 100, "Unattainable", IF(((40 - J56) / (1 - K56)) &lt; 0, "Already attained", ((40 - J56) / (1 - K56))))), "-")</f>
        <v>40</v>
      </c>
    </row>
    <row r="57" spans="1:16" ht="13.8" thickTop="1">
      <c r="A57" s="204" t="s">
        <v>501</v>
      </c>
      <c r="B57" s="201" t="s">
        <v>323</v>
      </c>
      <c r="C57" s="194">
        <v>5</v>
      </c>
      <c r="D57" s="310">
        <v>8.3299999999999999E-2</v>
      </c>
      <c r="E57" s="195">
        <v>0.5</v>
      </c>
      <c r="F57" s="196" t="s">
        <v>150</v>
      </c>
      <c r="G57" s="214">
        <v>0.75</v>
      </c>
      <c r="H57" s="196" t="s">
        <v>209</v>
      </c>
      <c r="I57" s="186"/>
      <c r="J57" s="158">
        <f>IF(G57=1, I57, SUMPRODUCT(I57:I58, G57:G58))</f>
        <v>0</v>
      </c>
      <c r="K57" s="158">
        <f>SUMIF(I57:I58, "&lt;&gt;", G57:G58) / SUMIF(G57:G58, "&lt;&gt;")</f>
        <v>0</v>
      </c>
      <c r="L57" s="158" t="str">
        <f>IFERROR(J57/K57, "No grades yet")</f>
        <v>No grades yet</v>
      </c>
      <c r="M57" s="158">
        <f>IFERROR(IF(K57 = 1, "Completed module", IF(((70 - J57) / (1 - K57)) &gt; 100, "Unattainable", IF(((70 - J57) / (1 - K57)) &lt; 0, "Already attained", ((70 - J57) / (1 - K57))))), "-")</f>
        <v>70</v>
      </c>
      <c r="N57" s="158">
        <f>IFERROR(IF(K57 = 1, "Completed module", IF(((60 - J57) / (1 - K57)) &gt; 100, "Unattainable", IF(((60 - J57) / (1 - K57)) &lt; 0, "Already attained", ((60 - J57) / (1 - K57))))), "-")</f>
        <v>60</v>
      </c>
      <c r="O57" s="158">
        <f>IFERROR(IF(K57 = 1, "Completed module", IF(((50 - J57) / (1 - K57)) &gt; 100, "Unattainable", IF(((50 - J57) / (1 - K57)) &lt; 0, "Already attained", ((50 - J57) / (1 - K57))))), "-")</f>
        <v>50</v>
      </c>
      <c r="P57" s="166">
        <f>IFERROR(IF(K57 = 1, "Completed module", IF(((40 - J57) / (1 - K57)) &gt; 100, "Unattainable", IF(((40 - J57) / (1 - K57)) &lt; 0, "Already attained", ((40 - J57) / (1 - K57))))), "-")</f>
        <v>40</v>
      </c>
    </row>
    <row r="58" spans="1:16" ht="22.8" customHeight="1" thickBot="1">
      <c r="A58" s="207"/>
      <c r="B58" s="208"/>
      <c r="C58" s="209"/>
      <c r="D58" s="312"/>
      <c r="E58" s="210"/>
      <c r="F58" s="211" t="s">
        <v>233</v>
      </c>
      <c r="G58" s="216">
        <v>0.25</v>
      </c>
      <c r="H58" s="211" t="s">
        <v>324</v>
      </c>
      <c r="I58" s="212"/>
      <c r="J58" s="183"/>
      <c r="K58" s="183"/>
      <c r="L58" s="183"/>
      <c r="M58" s="183"/>
      <c r="N58" s="183"/>
      <c r="O58" s="183"/>
      <c r="P58" s="184"/>
    </row>
    <row r="59" spans="1:16" ht="14.4" thickTop="1" thickBot="1">
      <c r="A59" s="227" t="s">
        <v>410</v>
      </c>
      <c r="B59" s="228" t="s">
        <v>411</v>
      </c>
      <c r="C59" s="229">
        <v>5</v>
      </c>
      <c r="D59" s="314">
        <v>8.3299999999999999E-2</v>
      </c>
      <c r="E59" s="230">
        <v>0.5</v>
      </c>
      <c r="F59" s="306" t="s">
        <v>150</v>
      </c>
      <c r="G59" s="315">
        <v>1</v>
      </c>
      <c r="H59" s="306" t="s">
        <v>209</v>
      </c>
      <c r="I59" s="233"/>
      <c r="J59" s="234">
        <f>IF(G59=1, I59, SUMPRODUCT(I59:I59, G59:G59))</f>
        <v>0</v>
      </c>
      <c r="K59" s="234">
        <f>SUMIF(I59:I59, "&lt;&gt;", G59:G59) / SUMIF(G59:G59, "&lt;&gt;")</f>
        <v>0</v>
      </c>
      <c r="L59" s="234" t="str">
        <f>IFERROR(J59/K59, "No grades yet")</f>
        <v>No grades yet</v>
      </c>
      <c r="M59" s="234">
        <f>IFERROR(IF(K59 = 1, "Completed module", IF(((70 - J59) / (1 - K59)) &gt; 100, "Unattainable", IF(((70 - J59) / (1 - K59)) &lt; 0, "Already attained", ((70 - J59) / (1 - K59))))), "-")</f>
        <v>70</v>
      </c>
      <c r="N59" s="234">
        <f>IFERROR(IF(K59 = 1, "Completed module", IF(((60 - J59) / (1 - K59)) &gt; 100, "Unattainable", IF(((60 - J59) / (1 - K59)) &lt; 0, "Already attained", ((60 - J59) / (1 - K59))))), "-")</f>
        <v>60</v>
      </c>
      <c r="O59" s="234">
        <f>IFERROR(IF(K59 = 1, "Completed module", IF(((50 - J59) / (1 - K59)) &gt; 100, "Unattainable", IF(((50 - J59) / (1 - K59)) &lt; 0, "Already attained", ((50 - J59) / (1 - K59))))), "-")</f>
        <v>50</v>
      </c>
      <c r="P59" s="235">
        <f>IFERROR(IF(K59 = 1, "Completed module", IF(((40 - J59) / (1 - K59)) &gt; 100, "Unattainable", IF(((40 - J59) / (1 - K59)) &lt; 0, "Already attained", ((40 - J59) / (1 - K59))))), "-")</f>
        <v>40</v>
      </c>
    </row>
    <row r="60" spans="1:16" ht="13.8" thickTop="1">
      <c r="A60" s="204" t="s">
        <v>402</v>
      </c>
      <c r="B60" s="201" t="s">
        <v>403</v>
      </c>
      <c r="C60" s="194">
        <v>5</v>
      </c>
      <c r="D60" s="310">
        <v>8.3299999999999999E-2</v>
      </c>
      <c r="E60" s="195">
        <v>0.5</v>
      </c>
      <c r="F60" s="196" t="s">
        <v>150</v>
      </c>
      <c r="G60" s="214">
        <v>0.6</v>
      </c>
      <c r="H60" s="196" t="s">
        <v>209</v>
      </c>
      <c r="I60" s="186"/>
      <c r="J60" s="158">
        <f>IF(G60=1, I60, SUMPRODUCT(I60:I61, G60:G61))</f>
        <v>0</v>
      </c>
      <c r="K60" s="158">
        <f>SUMIF(I60:I61, "&lt;&gt;", G60:G61) / SUMIF(G60:G61, "&lt;&gt;")</f>
        <v>0</v>
      </c>
      <c r="L60" s="158" t="str">
        <f>IFERROR(J60/K60, "No grades yet")</f>
        <v>No grades yet</v>
      </c>
      <c r="M60" s="158">
        <f>IFERROR(IF(K60 = 1, "Completed module", IF(((70 - J60) / (1 - K60)) &gt; 100, "Unattainable", IF(((70 - J60) / (1 - K60)) &lt; 0, "Already attained", ((70 - J60) / (1 - K60))))), "-")</f>
        <v>70</v>
      </c>
      <c r="N60" s="158">
        <f>IFERROR(IF(K60 = 1, "Completed module", IF(((60 - J60) / (1 - K60)) &gt; 100, "Unattainable", IF(((60 - J60) / (1 - K60)) &lt; 0, "Already attained", ((60 - J60) / (1 - K60))))), "-")</f>
        <v>60</v>
      </c>
      <c r="O60" s="158">
        <f>IFERROR(IF(K60 = 1, "Completed module", IF(((50 - J60) / (1 - K60)) &gt; 100, "Unattainable", IF(((50 - J60) / (1 - K60)) &lt; 0, "Already attained", ((50 - J60) / (1 - K60))))), "-")</f>
        <v>50</v>
      </c>
      <c r="P60" s="166">
        <f>IFERROR(IF(K60 = 1, "Completed module", IF(((40 - J60) / (1 - K60)) &gt; 100, "Unattainable", IF(((40 - J60) / (1 - K60)) &lt; 0, "Already attained", ((40 - J60) / (1 - K60))))), "-")</f>
        <v>40</v>
      </c>
    </row>
    <row r="61" spans="1:16" ht="13.8" thickBot="1">
      <c r="A61" s="207"/>
      <c r="B61" s="208"/>
      <c r="C61" s="209"/>
      <c r="D61" s="312"/>
      <c r="E61" s="210"/>
      <c r="F61" s="211" t="s">
        <v>201</v>
      </c>
      <c r="G61" s="216">
        <v>0.4</v>
      </c>
      <c r="H61" s="211" t="s">
        <v>201</v>
      </c>
      <c r="I61" s="212"/>
      <c r="J61" s="183"/>
      <c r="K61" s="183"/>
      <c r="L61" s="183"/>
      <c r="M61" s="183"/>
      <c r="N61" s="183"/>
      <c r="O61" s="183"/>
      <c r="P61" s="184"/>
    </row>
    <row r="62" spans="1:16" ht="34.200000000000003" customHeight="1" thickTop="1">
      <c r="A62" s="204" t="s">
        <v>339</v>
      </c>
      <c r="B62" s="201" t="s">
        <v>340</v>
      </c>
      <c r="C62" s="194">
        <v>5</v>
      </c>
      <c r="D62" s="310">
        <v>8.3299999999999999E-2</v>
      </c>
      <c r="E62" s="195">
        <v>0.5</v>
      </c>
      <c r="F62" s="196" t="s">
        <v>199</v>
      </c>
      <c r="G62" s="214">
        <v>0.3</v>
      </c>
      <c r="H62" s="196" t="s">
        <v>341</v>
      </c>
      <c r="I62" s="186"/>
      <c r="J62" s="158">
        <f>IF(G62=1, I62, SUMPRODUCT(I62:I65, G62:G65))</f>
        <v>0</v>
      </c>
      <c r="K62" s="158">
        <f>SUMIF(I62:I65, "&lt;&gt;", G62:G65) / SUMIF(G62:G65, "&lt;&gt;")</f>
        <v>0</v>
      </c>
      <c r="L62" s="158" t="str">
        <f>IFERROR(J62/K62, "No grades yet")</f>
        <v>No grades yet</v>
      </c>
      <c r="M62" s="158">
        <f>IFERROR(IF(K62 = 1, "Completed module", IF(((70 - J62) / (1 - K62)) &gt; 100, "Unattainable", IF(((70 - J62) / (1 - K62)) &lt; 0, "Already attained", ((70 - J62) / (1 - K62))))), "-")</f>
        <v>70</v>
      </c>
      <c r="N62" s="158">
        <f>IFERROR(IF(K62 = 1, "Completed module", IF(((60 - J62) / (1 - K62)) &gt; 100, "Unattainable", IF(((60 - J62) / (1 - K62)) &lt; 0, "Already attained", ((60 - J62) / (1 - K62))))), "-")</f>
        <v>60</v>
      </c>
      <c r="O62" s="158">
        <f>IFERROR(IF(K62 = 1, "Completed module", IF(((50 - J62) / (1 - K62)) &gt; 100, "Unattainable", IF(((50 - J62) / (1 - K62)) &lt; 0, "Already attained", ((50 - J62) / (1 - K62))))), "-")</f>
        <v>50</v>
      </c>
      <c r="P62" s="166">
        <f>IFERROR(IF(K62 = 1, "Completed module", IF(((40 - J62) / (1 - K62)) &gt; 100, "Unattainable", IF(((40 - J62) / (1 - K62)) &lt; 0, "Already attained", ((40 - J62) / (1 - K62))))), "-")</f>
        <v>40</v>
      </c>
    </row>
    <row r="63" spans="1:16">
      <c r="A63" s="205"/>
      <c r="B63" s="202"/>
      <c r="C63" s="191"/>
      <c r="D63" s="309"/>
      <c r="E63" s="192"/>
      <c r="F63" s="193" t="s">
        <v>251</v>
      </c>
      <c r="G63" s="213">
        <v>0.2</v>
      </c>
      <c r="H63" s="193" t="s">
        <v>499</v>
      </c>
      <c r="I63" s="185"/>
      <c r="J63" s="148"/>
      <c r="K63" s="148"/>
      <c r="L63" s="148"/>
      <c r="M63" s="148"/>
      <c r="N63" s="148"/>
      <c r="O63" s="148"/>
      <c r="P63" s="167"/>
    </row>
    <row r="64" spans="1:16">
      <c r="A64" s="205"/>
      <c r="B64" s="202"/>
      <c r="C64" s="191"/>
      <c r="D64" s="309"/>
      <c r="E64" s="192"/>
      <c r="F64" s="193" t="s">
        <v>201</v>
      </c>
      <c r="G64" s="213">
        <v>0.2</v>
      </c>
      <c r="H64" s="193" t="s">
        <v>343</v>
      </c>
      <c r="I64" s="185"/>
      <c r="J64" s="148"/>
      <c r="K64" s="148"/>
      <c r="L64" s="148"/>
      <c r="M64" s="148"/>
      <c r="N64" s="148"/>
      <c r="O64" s="148"/>
      <c r="P64" s="167"/>
    </row>
    <row r="65" spans="1:16" ht="13.8" thickBot="1">
      <c r="A65" s="207"/>
      <c r="B65" s="208"/>
      <c r="C65" s="209"/>
      <c r="D65" s="312"/>
      <c r="E65" s="210"/>
      <c r="F65" s="211" t="s">
        <v>199</v>
      </c>
      <c r="G65" s="216">
        <v>0.3</v>
      </c>
      <c r="H65" s="211" t="s">
        <v>500</v>
      </c>
      <c r="I65" s="212"/>
      <c r="J65" s="183"/>
      <c r="K65" s="183"/>
      <c r="L65" s="183"/>
      <c r="M65" s="183"/>
      <c r="N65" s="183"/>
      <c r="O65" s="183"/>
      <c r="P65" s="184"/>
    </row>
    <row r="66" spans="1:16" ht="22.8" customHeight="1" thickTop="1">
      <c r="A66" s="204" t="s">
        <v>404</v>
      </c>
      <c r="B66" s="201" t="s">
        <v>405</v>
      </c>
      <c r="C66" s="194">
        <v>5</v>
      </c>
      <c r="D66" s="310">
        <v>8.3299999999999999E-2</v>
      </c>
      <c r="E66" s="195">
        <v>0.5</v>
      </c>
      <c r="F66" s="196" t="s">
        <v>150</v>
      </c>
      <c r="G66" s="214">
        <v>0.6</v>
      </c>
      <c r="H66" s="196" t="s">
        <v>209</v>
      </c>
      <c r="I66" s="186"/>
      <c r="J66" s="158">
        <f>IF(G66=1, I66, SUMPRODUCT(I66:I67, G66:G67))</f>
        <v>0</v>
      </c>
      <c r="K66" s="158">
        <f>SUMIF(I66:I67, "&lt;&gt;", G66:G67) / SUMIF(G66:G67, "&lt;&gt;")</f>
        <v>0</v>
      </c>
      <c r="L66" s="158" t="str">
        <f>IFERROR(J66/K66, "No grades yet")</f>
        <v>No grades yet</v>
      </c>
      <c r="M66" s="158">
        <f>IFERROR(IF(K66 = 1, "Completed module", IF(((70 - J66) / (1 - K66)) &gt; 100, "Unattainable", IF(((70 - J66) / (1 - K66)) &lt; 0, "Already attained", ((70 - J66) / (1 - K66))))), "-")</f>
        <v>70</v>
      </c>
      <c r="N66" s="158">
        <f>IFERROR(IF(K66 = 1, "Completed module", IF(((60 - J66) / (1 - K66)) &gt; 100, "Unattainable", IF(((60 - J66) / (1 - K66)) &lt; 0, "Already attained", ((60 - J66) / (1 - K66))))), "-")</f>
        <v>60</v>
      </c>
      <c r="O66" s="158">
        <f>IFERROR(IF(K66 = 1, "Completed module", IF(((50 - J66) / (1 - K66)) &gt; 100, "Unattainable", IF(((50 - J66) / (1 - K66)) &lt; 0, "Already attained", ((50 - J66) / (1 - K66))))), "-")</f>
        <v>50</v>
      </c>
      <c r="P66" s="166">
        <f>IFERROR(IF(K66 = 1, "Completed module", IF(((40 - J66) / (1 - K66)) &gt; 100, "Unattainable", IF(((40 - J66) / (1 - K66)) &lt; 0, "Already attained", ((40 - J66) / (1 - K66))))), "-")</f>
        <v>40</v>
      </c>
    </row>
    <row r="67" spans="1:16" ht="13.8" thickBot="1">
      <c r="A67" s="207"/>
      <c r="B67" s="208"/>
      <c r="C67" s="209"/>
      <c r="D67" s="312"/>
      <c r="E67" s="210"/>
      <c r="F67" s="211" t="s">
        <v>199</v>
      </c>
      <c r="G67" s="216">
        <v>0.4</v>
      </c>
      <c r="H67" s="211" t="s">
        <v>406</v>
      </c>
      <c r="I67" s="212"/>
      <c r="J67" s="183"/>
      <c r="K67" s="183"/>
      <c r="L67" s="183"/>
      <c r="M67" s="183"/>
      <c r="N67" s="183"/>
      <c r="O67" s="183"/>
      <c r="P67" s="184"/>
    </row>
    <row r="68" spans="1:16" ht="22.8" customHeight="1" thickTop="1">
      <c r="A68" s="204" t="s">
        <v>415</v>
      </c>
      <c r="B68" s="201" t="s">
        <v>416</v>
      </c>
      <c r="C68" s="194">
        <v>5</v>
      </c>
      <c r="D68" s="310">
        <v>8.3299999999999999E-2</v>
      </c>
      <c r="E68" s="195">
        <v>0.5</v>
      </c>
      <c r="F68" s="196" t="s">
        <v>199</v>
      </c>
      <c r="G68" s="214">
        <v>0.5</v>
      </c>
      <c r="H68" s="196" t="s">
        <v>320</v>
      </c>
      <c r="I68" s="186"/>
      <c r="J68" s="158">
        <f>IF(G68=1, I68, SUMPRODUCT(I68:I69, G68:G69))</f>
        <v>0</v>
      </c>
      <c r="K68" s="158">
        <f>SUMIF(I68:I69, "&lt;&gt;", G68:G69) / SUMIF(G68:G69, "&lt;&gt;")</f>
        <v>0</v>
      </c>
      <c r="L68" s="158" t="str">
        <f>IFERROR(J68/K68, "No grades yet")</f>
        <v>No grades yet</v>
      </c>
      <c r="M68" s="158">
        <f>IFERROR(IF(K68 = 1, "Completed module", IF(((70 - J68) / (1 - K68)) &gt; 100, "Unattainable", IF(((70 - J68) / (1 - K68)) &lt; 0, "Already attained", ((70 - J68) / (1 - K68))))), "-")</f>
        <v>70</v>
      </c>
      <c r="N68" s="158">
        <f>IFERROR(IF(K68 = 1, "Completed module", IF(((60 - J68) / (1 - K68)) &gt; 100, "Unattainable", IF(((60 - J68) / (1 - K68)) &lt; 0, "Already attained", ((60 - J68) / (1 - K68))))), "-")</f>
        <v>60</v>
      </c>
      <c r="O68" s="158">
        <f>IFERROR(IF(K68 = 1, "Completed module", IF(((50 - J68) / (1 - K68)) &gt; 100, "Unattainable", IF(((50 - J68) / (1 - K68)) &lt; 0, "Already attained", ((50 - J68) / (1 - K68))))), "-")</f>
        <v>50</v>
      </c>
      <c r="P68" s="166">
        <f>IFERROR(IF(K68 = 1, "Completed module", IF(((40 - J68) / (1 - K68)) &gt; 100, "Unattainable", IF(((40 - J68) / (1 - K68)) &lt; 0, "Already attained", ((40 - J68) / (1 - K68))))), "-")</f>
        <v>40</v>
      </c>
    </row>
    <row r="69" spans="1:16" ht="13.8" thickBot="1">
      <c r="A69" s="207"/>
      <c r="B69" s="208"/>
      <c r="C69" s="209"/>
      <c r="D69" s="312"/>
      <c r="E69" s="210"/>
      <c r="F69" s="211" t="s">
        <v>199</v>
      </c>
      <c r="G69" s="216">
        <v>0.5</v>
      </c>
      <c r="H69" s="211" t="s">
        <v>321</v>
      </c>
      <c r="I69" s="212"/>
      <c r="J69" s="183"/>
      <c r="K69" s="183"/>
      <c r="L69" s="183"/>
      <c r="M69" s="183"/>
      <c r="N69" s="183"/>
      <c r="O69" s="183"/>
      <c r="P69" s="184"/>
    </row>
    <row r="70" spans="1:16" ht="22.8" customHeight="1" thickTop="1">
      <c r="A70" s="204" t="s">
        <v>417</v>
      </c>
      <c r="B70" s="201" t="s">
        <v>418</v>
      </c>
      <c r="C70" s="194">
        <v>5</v>
      </c>
      <c r="D70" s="310">
        <v>8.3299999999999999E-2</v>
      </c>
      <c r="E70" s="195">
        <v>0.5</v>
      </c>
      <c r="F70" s="196" t="s">
        <v>150</v>
      </c>
      <c r="G70" s="214">
        <v>0.75</v>
      </c>
      <c r="H70" s="196" t="s">
        <v>209</v>
      </c>
      <c r="I70" s="186"/>
      <c r="J70" s="158">
        <f>IF(G70=1, I70, SUMPRODUCT(I70:I71, G70:G71))</f>
        <v>0</v>
      </c>
      <c r="K70" s="158">
        <f>SUMIF(I70:I71, "&lt;&gt;", G70:G71) / SUMIF(G70:G71, "&lt;&gt;")</f>
        <v>0</v>
      </c>
      <c r="L70" s="158" t="str">
        <f>IFERROR(J70/K70, "No grades yet")</f>
        <v>No grades yet</v>
      </c>
      <c r="M70" s="158">
        <f>IFERROR(IF(K70 = 1, "Completed module", IF(((70 - J70) / (1 - K70)) &gt; 100, "Unattainable", IF(((70 - J70) / (1 - K70)) &lt; 0, "Already attained", ((70 - J70) / (1 - K70))))), "-")</f>
        <v>70</v>
      </c>
      <c r="N70" s="158">
        <f>IFERROR(IF(K70 = 1, "Completed module", IF(((60 - J70) / (1 - K70)) &gt; 100, "Unattainable", IF(((60 - J70) / (1 - K70)) &lt; 0, "Already attained", ((60 - J70) / (1 - K70))))), "-")</f>
        <v>60</v>
      </c>
      <c r="O70" s="158">
        <f>IFERROR(IF(K70 = 1, "Completed module", IF(((50 - J70) / (1 - K70)) &gt; 100, "Unattainable", IF(((50 - J70) / (1 - K70)) &lt; 0, "Already attained", ((50 - J70) / (1 - K70))))), "-")</f>
        <v>50</v>
      </c>
      <c r="P70" s="166">
        <f>IFERROR(IF(K70 = 1, "Completed module", IF(((40 - J70) / (1 - K70)) &gt; 100, "Unattainable", IF(((40 - J70) / (1 - K70)) &lt; 0, "Already attained", ((40 - J70) / (1 - K70))))), "-")</f>
        <v>40</v>
      </c>
    </row>
    <row r="71" spans="1:16" ht="23.4" customHeight="1" thickBot="1">
      <c r="A71" s="207"/>
      <c r="B71" s="208"/>
      <c r="C71" s="209"/>
      <c r="D71" s="312"/>
      <c r="E71" s="210"/>
      <c r="F71" s="211" t="s">
        <v>188</v>
      </c>
      <c r="G71" s="216">
        <v>0.25</v>
      </c>
      <c r="H71" s="211" t="s">
        <v>188</v>
      </c>
      <c r="I71" s="212"/>
      <c r="J71" s="183"/>
      <c r="K71" s="183"/>
      <c r="L71" s="183"/>
      <c r="M71" s="183"/>
      <c r="N71" s="183"/>
      <c r="O71" s="183"/>
      <c r="P71" s="184"/>
    </row>
    <row r="72" spans="1:16" ht="54" thickTop="1" thickBot="1">
      <c r="A72" s="227" t="s">
        <v>457</v>
      </c>
      <c r="B72" s="228" t="s">
        <v>350</v>
      </c>
      <c r="C72" s="229">
        <v>5</v>
      </c>
      <c r="D72" s="314">
        <v>8.3299999999999999E-2</v>
      </c>
      <c r="E72" s="230">
        <v>0.5</v>
      </c>
      <c r="F72" s="231" t="s">
        <v>255</v>
      </c>
      <c r="G72" s="232"/>
      <c r="H72" s="231"/>
      <c r="I72" s="233"/>
      <c r="J72" s="234" t="e">
        <f>IF(G72=1, I72, SUMPRODUCT(I72:I72, G72:G72))</f>
        <v>#VALUE!</v>
      </c>
      <c r="K72" s="234" t="e">
        <f>SUMIF(I72:I72, "&lt;&gt;", G72:G72) / SUMIF(G72:G72, "&lt;&gt;")</f>
        <v>#DIV/0!</v>
      </c>
      <c r="L72" s="234" t="str">
        <f>IFERROR(J72/K72, "No grades yet")</f>
        <v>No grades yet</v>
      </c>
      <c r="M72" s="234" t="str">
        <f>IFERROR(IF(K72 = 1, "Completed module", IF(((70 - J72) / (1 - K72)) &gt; 100, "Unattainable", IF(((70 - J72) / (1 - K72)) &lt; 0, "Already attained", ((70 - J72) / (1 - K72))))), "-")</f>
        <v>-</v>
      </c>
      <c r="N72" s="234" t="str">
        <f>IFERROR(IF(K72 = 1, "Completed module", IF(((60 - J72) / (1 - K72)) &gt; 100, "Unattainable", IF(((60 - J72) / (1 - K72)) &lt; 0, "Already attained", ((60 - J72) / (1 - K72))))), "-")</f>
        <v>-</v>
      </c>
      <c r="O72" s="234" t="str">
        <f>IFERROR(IF(K72 = 1, "Completed module", IF(((50 - J72) / (1 - K72)) &gt; 100, "Unattainable", IF(((50 - J72) / (1 - K72)) &lt; 0, "Already attained", ((50 - J72) / (1 - K72))))), "-")</f>
        <v>-</v>
      </c>
      <c r="P72" s="235" t="str">
        <f>IFERROR(IF(K72 = 1, "Completed module", IF(((40 - J72) / (1 - K72)) &gt; 100, "Unattainable", IF(((40 - J72) / (1 - K72)) &lt; 0, "Already attained", ((40 - J72) / (1 - K72))))), "-")</f>
        <v>-</v>
      </c>
    </row>
    <row r="73" spans="1:16" ht="54" thickTop="1" thickBot="1">
      <c r="A73" s="227" t="s">
        <v>458</v>
      </c>
      <c r="B73" s="228" t="s">
        <v>459</v>
      </c>
      <c r="C73" s="229">
        <v>5</v>
      </c>
      <c r="D73" s="314">
        <v>8.3299999999999999E-2</v>
      </c>
      <c r="E73" s="230">
        <v>0.5</v>
      </c>
      <c r="F73" s="231" t="s">
        <v>255</v>
      </c>
      <c r="G73" s="232"/>
      <c r="H73" s="231"/>
      <c r="I73" s="233"/>
      <c r="J73" s="234" t="e">
        <f>IF(G73=1, I73, SUMPRODUCT(I73:I73, G73:G73))</f>
        <v>#VALUE!</v>
      </c>
      <c r="K73" s="234" t="e">
        <f>SUMIF(I73:I73, "&lt;&gt;", G73:G73) / SUMIF(G73:G73, "&lt;&gt;")</f>
        <v>#DIV/0!</v>
      </c>
      <c r="L73" s="234" t="str">
        <f>IFERROR(J73/K73, "No grades yet")</f>
        <v>No grades yet</v>
      </c>
      <c r="M73" s="234" t="str">
        <f>IFERROR(IF(K73 = 1, "Completed module", IF(((70 - J73) / (1 - K73)) &gt; 100, "Unattainable", IF(((70 - J73) / (1 - K73)) &lt; 0, "Already attained", ((70 - J73) / (1 - K73))))), "-")</f>
        <v>-</v>
      </c>
      <c r="N73" s="234" t="str">
        <f>IFERROR(IF(K73 = 1, "Completed module", IF(((60 - J73) / (1 - K73)) &gt; 100, "Unattainable", IF(((60 - J73) / (1 - K73)) &lt; 0, "Already attained", ((60 - J73) / (1 - K73))))), "-")</f>
        <v>-</v>
      </c>
      <c r="O73" s="234" t="str">
        <f>IFERROR(IF(K73 = 1, "Completed module", IF(((50 - J73) / (1 - K73)) &gt; 100, "Unattainable", IF(((50 - J73) / (1 - K73)) &lt; 0, "Already attained", ((50 - J73) / (1 - K73))))), "-")</f>
        <v>-</v>
      </c>
      <c r="P73" s="235" t="str">
        <f>IFERROR(IF(K73 = 1, "Completed module", IF(((40 - J73) / (1 - K73)) &gt; 100, "Unattainable", IF(((40 - J73) / (1 - K73)) &lt; 0, "Already attained", ((40 - J73) / (1 - K73))))), "-")</f>
        <v>-</v>
      </c>
    </row>
    <row r="74" spans="1:16" ht="54" thickTop="1" thickBot="1">
      <c r="A74" s="227" t="s">
        <v>460</v>
      </c>
      <c r="B74" s="228" t="s">
        <v>461</v>
      </c>
      <c r="C74" s="229">
        <v>5</v>
      </c>
      <c r="D74" s="314">
        <v>8.3299999999999999E-2</v>
      </c>
      <c r="E74" s="230">
        <v>0.5</v>
      </c>
      <c r="F74" s="231" t="s">
        <v>255</v>
      </c>
      <c r="G74" s="232"/>
      <c r="H74" s="231"/>
      <c r="I74" s="233"/>
      <c r="J74" s="234" t="e">
        <f>IF(G74=1, I74, SUMPRODUCT(I74:I74, G74:G74))</f>
        <v>#VALUE!</v>
      </c>
      <c r="K74" s="234" t="e">
        <f>SUMIF(I74:I74, "&lt;&gt;", G74:G74) / SUMIF(G74:G74, "&lt;&gt;")</f>
        <v>#DIV/0!</v>
      </c>
      <c r="L74" s="234" t="str">
        <f>IFERROR(J74/K74, "No grades yet")</f>
        <v>No grades yet</v>
      </c>
      <c r="M74" s="234" t="str">
        <f>IFERROR(IF(K74 = 1, "Completed module", IF(((70 - J74) / (1 - K74)) &gt; 100, "Unattainable", IF(((70 - J74) / (1 - K74)) &lt; 0, "Already attained", ((70 - J74) / (1 - K74))))), "-")</f>
        <v>-</v>
      </c>
      <c r="N74" s="234" t="str">
        <f>IFERROR(IF(K74 = 1, "Completed module", IF(((60 - J74) / (1 - K74)) &gt; 100, "Unattainable", IF(((60 - J74) / (1 - K74)) &lt; 0, "Already attained", ((60 - J74) / (1 - K74))))), "-")</f>
        <v>-</v>
      </c>
      <c r="O74" s="234" t="str">
        <f>IFERROR(IF(K74 = 1, "Completed module", IF(((50 - J74) / (1 - K74)) &gt; 100, "Unattainable", IF(((50 - J74) / (1 - K74)) &lt; 0, "Already attained", ((50 - J74) / (1 - K74))))), "-")</f>
        <v>-</v>
      </c>
      <c r="P74" s="235" t="str">
        <f>IFERROR(IF(K74 = 1, "Completed module", IF(((40 - J74) / (1 - K74)) &gt; 100, "Unattainable", IF(((40 - J74) / (1 - K74)) &lt; 0, "Already attained", ((40 - J74) / (1 - K74))))), "-")</f>
        <v>-</v>
      </c>
    </row>
    <row r="75" spans="1:16" ht="54" thickTop="1" thickBot="1">
      <c r="A75" s="227" t="s">
        <v>462</v>
      </c>
      <c r="B75" s="228" t="s">
        <v>463</v>
      </c>
      <c r="C75" s="229">
        <v>5</v>
      </c>
      <c r="D75" s="314">
        <v>8.3299999999999999E-2</v>
      </c>
      <c r="E75" s="230">
        <v>0.5</v>
      </c>
      <c r="F75" s="231" t="s">
        <v>255</v>
      </c>
      <c r="G75" s="232"/>
      <c r="H75" s="231"/>
      <c r="I75" s="233"/>
      <c r="J75" s="234" t="e">
        <f>IF(G75=1, I75, SUMPRODUCT(I75:I75, G75:G75))</f>
        <v>#VALUE!</v>
      </c>
      <c r="K75" s="234" t="e">
        <f>SUMIF(I75:I75, "&lt;&gt;", G75:G75) / SUMIF(G75:G75, "&lt;&gt;")</f>
        <v>#DIV/0!</v>
      </c>
      <c r="L75" s="234" t="str">
        <f>IFERROR(J75/K75, "No grades yet")</f>
        <v>No grades yet</v>
      </c>
      <c r="M75" s="234" t="str">
        <f>IFERROR(IF(K75 = 1, "Completed module", IF(((70 - J75) / (1 - K75)) &gt; 100, "Unattainable", IF(((70 - J75) / (1 - K75)) &lt; 0, "Already attained", ((70 - J75) / (1 - K75))))), "-")</f>
        <v>-</v>
      </c>
      <c r="N75" s="234" t="str">
        <f>IFERROR(IF(K75 = 1, "Completed module", IF(((60 - J75) / (1 - K75)) &gt; 100, "Unattainable", IF(((60 - J75) / (1 - K75)) &lt; 0, "Already attained", ((60 - J75) / (1 - K75))))), "-")</f>
        <v>-</v>
      </c>
      <c r="O75" s="234" t="str">
        <f>IFERROR(IF(K75 = 1, "Completed module", IF(((50 - J75) / (1 - K75)) &gt; 100, "Unattainable", IF(((50 - J75) / (1 - K75)) &lt; 0, "Already attained", ((50 - J75) / (1 - K75))))), "-")</f>
        <v>-</v>
      </c>
      <c r="P75" s="235" t="str">
        <f>IFERROR(IF(K75 = 1, "Completed module", IF(((40 - J75) / (1 - K75)) &gt; 100, "Unattainable", IF(((40 - J75) / (1 - K75)) &lt; 0, "Already attained", ((40 - J75) / (1 - K75))))), "-")</f>
        <v>-</v>
      </c>
    </row>
    <row r="76" spans="1:16" ht="54" thickTop="1" thickBot="1">
      <c r="A76" s="227" t="s">
        <v>464</v>
      </c>
      <c r="B76" s="228" t="s">
        <v>465</v>
      </c>
      <c r="C76" s="229">
        <v>5</v>
      </c>
      <c r="D76" s="314">
        <v>8.3299999999999999E-2</v>
      </c>
      <c r="E76" s="230">
        <v>0.5</v>
      </c>
      <c r="F76" s="231" t="s">
        <v>255</v>
      </c>
      <c r="G76" s="232"/>
      <c r="H76" s="231"/>
      <c r="I76" s="233"/>
      <c r="J76" s="234" t="e">
        <f>IF(G76=1, I76, SUMPRODUCT(I76:I76, G76:G76))</f>
        <v>#VALUE!</v>
      </c>
      <c r="K76" s="234" t="e">
        <f>SUMIF(I76:I76, "&lt;&gt;", G76:G76) / SUMIF(G76:G76, "&lt;&gt;")</f>
        <v>#DIV/0!</v>
      </c>
      <c r="L76" s="234" t="str">
        <f>IFERROR(J76/K76, "No grades yet")</f>
        <v>No grades yet</v>
      </c>
      <c r="M76" s="234" t="str">
        <f>IFERROR(IF(K76 = 1, "Completed module", IF(((70 - J76) / (1 - K76)) &gt; 100, "Unattainable", IF(((70 - J76) / (1 - K76)) &lt; 0, "Already attained", ((70 - J76) / (1 - K76))))), "-")</f>
        <v>-</v>
      </c>
      <c r="N76" s="234" t="str">
        <f>IFERROR(IF(K76 = 1, "Completed module", IF(((60 - J76) / (1 - K76)) &gt; 100, "Unattainable", IF(((60 - J76) / (1 - K76)) &lt; 0, "Already attained", ((60 - J76) / (1 - K76))))), "-")</f>
        <v>-</v>
      </c>
      <c r="O76" s="234" t="str">
        <f>IFERROR(IF(K76 = 1, "Completed module", IF(((50 - J76) / (1 - K76)) &gt; 100, "Unattainable", IF(((50 - J76) / (1 - K76)) &lt; 0, "Already attained", ((50 - J76) / (1 - K76))))), "-")</f>
        <v>-</v>
      </c>
      <c r="P76" s="235" t="str">
        <f>IFERROR(IF(K76 = 1, "Completed module", IF(((40 - J76) / (1 - K76)) &gt; 100, "Unattainable", IF(((40 - J76) / (1 - K76)) &lt; 0, "Already attained", ((40 - J76) / (1 - K76))))), "-")</f>
        <v>-</v>
      </c>
    </row>
    <row r="77" spans="1:16" ht="54" thickTop="1" thickBot="1">
      <c r="A77" s="227" t="s">
        <v>466</v>
      </c>
      <c r="B77" s="228" t="s">
        <v>467</v>
      </c>
      <c r="C77" s="229">
        <v>5</v>
      </c>
      <c r="D77" s="314">
        <v>8.3299999999999999E-2</v>
      </c>
      <c r="E77" s="230">
        <v>0.5</v>
      </c>
      <c r="F77" s="231" t="s">
        <v>255</v>
      </c>
      <c r="G77" s="232"/>
      <c r="H77" s="231"/>
      <c r="I77" s="233"/>
      <c r="J77" s="234" t="e">
        <f>IF(G77=1, I77, SUMPRODUCT(I77:I77, G77:G77))</f>
        <v>#VALUE!</v>
      </c>
      <c r="K77" s="234" t="e">
        <f>SUMIF(I77:I77, "&lt;&gt;", G77:G77) / SUMIF(G77:G77, "&lt;&gt;")</f>
        <v>#DIV/0!</v>
      </c>
      <c r="L77" s="234" t="str">
        <f>IFERROR(J77/K77, "No grades yet")</f>
        <v>No grades yet</v>
      </c>
      <c r="M77" s="234" t="str">
        <f>IFERROR(IF(K77 = 1, "Completed module", IF(((70 - J77) / (1 - K77)) &gt; 100, "Unattainable", IF(((70 - J77) / (1 - K77)) &lt; 0, "Already attained", ((70 - J77) / (1 - K77))))), "-")</f>
        <v>-</v>
      </c>
      <c r="N77" s="234" t="str">
        <f>IFERROR(IF(K77 = 1, "Completed module", IF(((60 - J77) / (1 - K77)) &gt; 100, "Unattainable", IF(((60 - J77) / (1 - K77)) &lt; 0, "Already attained", ((60 - J77) / (1 - K77))))), "-")</f>
        <v>-</v>
      </c>
      <c r="O77" s="234" t="str">
        <f>IFERROR(IF(K77 = 1, "Completed module", IF(((50 - J77) / (1 - K77)) &gt; 100, "Unattainable", IF(((50 - J77) / (1 - K77)) &lt; 0, "Already attained", ((50 - J77) / (1 - K77))))), "-")</f>
        <v>-</v>
      </c>
      <c r="P77" s="235" t="str">
        <f>IFERROR(IF(K77 = 1, "Completed module", IF(((40 - J77) / (1 - K77)) &gt; 100, "Unattainable", IF(((40 - J77) / (1 - K77)) &lt; 0, "Already attained", ((40 - J77) / (1 - K77))))), "-")</f>
        <v>-</v>
      </c>
    </row>
    <row r="78" spans="1:16" ht="54" thickTop="1" thickBot="1">
      <c r="A78" s="227" t="s">
        <v>481</v>
      </c>
      <c r="B78" s="228" t="s">
        <v>482</v>
      </c>
      <c r="C78" s="229">
        <v>5</v>
      </c>
      <c r="D78" s="314">
        <v>8.3299999999999999E-2</v>
      </c>
      <c r="E78" s="230">
        <v>0.5</v>
      </c>
      <c r="F78" s="231" t="s">
        <v>255</v>
      </c>
      <c r="G78" s="232"/>
      <c r="H78" s="231"/>
      <c r="I78" s="233"/>
      <c r="J78" s="234" t="e">
        <f>IF(G78=1, I78, SUMPRODUCT(I78:I78, G78:G78))</f>
        <v>#VALUE!</v>
      </c>
      <c r="K78" s="234" t="e">
        <f>SUMIF(I78:I78, "&lt;&gt;", G78:G78) / SUMIF(G78:G78, "&lt;&gt;")</f>
        <v>#DIV/0!</v>
      </c>
      <c r="L78" s="234" t="str">
        <f>IFERROR(J78/K78, "No grades yet")</f>
        <v>No grades yet</v>
      </c>
      <c r="M78" s="234" t="str">
        <f>IFERROR(IF(K78 = 1, "Completed module", IF(((70 - J78) / (1 - K78)) &gt; 100, "Unattainable", IF(((70 - J78) / (1 - K78)) &lt; 0, "Already attained", ((70 - J78) / (1 - K78))))), "-")</f>
        <v>-</v>
      </c>
      <c r="N78" s="234" t="str">
        <f>IFERROR(IF(K78 = 1, "Completed module", IF(((60 - J78) / (1 - K78)) &gt; 100, "Unattainable", IF(((60 - J78) / (1 - K78)) &lt; 0, "Already attained", ((60 - J78) / (1 - K78))))), "-")</f>
        <v>-</v>
      </c>
      <c r="O78" s="234" t="str">
        <f>IFERROR(IF(K78 = 1, "Completed module", IF(((50 - J78) / (1 - K78)) &gt; 100, "Unattainable", IF(((50 - J78) / (1 - K78)) &lt; 0, "Already attained", ((50 - J78) / (1 - K78))))), "-")</f>
        <v>-</v>
      </c>
      <c r="P78" s="235" t="str">
        <f>IFERROR(IF(K78 = 1, "Completed module", IF(((40 - J78) / (1 - K78)) &gt; 100, "Unattainable", IF(((40 - J78) / (1 - K78)) &lt; 0, "Already attained", ((40 - J78) / (1 - K78))))), "-")</f>
        <v>-</v>
      </c>
    </row>
    <row r="79" spans="1:16" ht="54" thickTop="1" thickBot="1">
      <c r="A79" s="227" t="s">
        <v>419</v>
      </c>
      <c r="B79" s="228" t="s">
        <v>420</v>
      </c>
      <c r="C79" s="229">
        <v>5</v>
      </c>
      <c r="D79" s="314">
        <v>8.3299999999999999E-2</v>
      </c>
      <c r="E79" s="230">
        <v>0.5</v>
      </c>
      <c r="F79" s="231" t="s">
        <v>255</v>
      </c>
      <c r="G79" s="232"/>
      <c r="H79" s="231"/>
      <c r="I79" s="233"/>
      <c r="J79" s="234" t="e">
        <f>IF(G79=1, I79, SUMPRODUCT(I79:I79, G79:G79))</f>
        <v>#VALUE!</v>
      </c>
      <c r="K79" s="234" t="e">
        <f>SUMIF(I79:I79, "&lt;&gt;", G79:G79) / SUMIF(G79:G79, "&lt;&gt;")</f>
        <v>#DIV/0!</v>
      </c>
      <c r="L79" s="234" t="str">
        <f>IFERROR(J79/K79, "No grades yet")</f>
        <v>No grades yet</v>
      </c>
      <c r="M79" s="234" t="str">
        <f>IFERROR(IF(K79 = 1, "Completed module", IF(((70 - J79) / (1 - K79)) &gt; 100, "Unattainable", IF(((70 - J79) / (1 - K79)) &lt; 0, "Already attained", ((70 - J79) / (1 - K79))))), "-")</f>
        <v>-</v>
      </c>
      <c r="N79" s="234" t="str">
        <f>IFERROR(IF(K79 = 1, "Completed module", IF(((60 - J79) / (1 - K79)) &gt; 100, "Unattainable", IF(((60 - J79) / (1 - K79)) &lt; 0, "Already attained", ((60 - J79) / (1 - K79))))), "-")</f>
        <v>-</v>
      </c>
      <c r="O79" s="234" t="str">
        <f>IFERROR(IF(K79 = 1, "Completed module", IF(((50 - J79) / (1 - K79)) &gt; 100, "Unattainable", IF(((50 - J79) / (1 - K79)) &lt; 0, "Already attained", ((50 - J79) / (1 - K79))))), "-")</f>
        <v>-</v>
      </c>
      <c r="P79" s="235" t="str">
        <f>IFERROR(IF(K79 = 1, "Completed module", IF(((40 - J79) / (1 - K79)) &gt; 100, "Unattainable", IF(((40 - J79) / (1 - K79)) &lt; 0, "Already attained", ((40 - J79) / (1 - K79))))), "-")</f>
        <v>-</v>
      </c>
    </row>
    <row r="80" spans="1:16" ht="54" thickTop="1" thickBot="1">
      <c r="A80" s="227" t="s">
        <v>483</v>
      </c>
      <c r="B80" s="228" t="s">
        <v>484</v>
      </c>
      <c r="C80" s="229">
        <v>5</v>
      </c>
      <c r="D80" s="314">
        <v>8.3299999999999999E-2</v>
      </c>
      <c r="E80" s="230">
        <v>0.5</v>
      </c>
      <c r="F80" s="231" t="s">
        <v>255</v>
      </c>
      <c r="G80" s="232"/>
      <c r="H80" s="231"/>
      <c r="I80" s="233"/>
      <c r="J80" s="234" t="e">
        <f>IF(G80=1, I80, SUMPRODUCT(I80:I80, G80:G80))</f>
        <v>#VALUE!</v>
      </c>
      <c r="K80" s="234" t="e">
        <f>SUMIF(I80:I80, "&lt;&gt;", G80:G80) / SUMIF(G80:G80, "&lt;&gt;")</f>
        <v>#DIV/0!</v>
      </c>
      <c r="L80" s="234" t="str">
        <f>IFERROR(J80/K80, "No grades yet")</f>
        <v>No grades yet</v>
      </c>
      <c r="M80" s="234" t="str">
        <f>IFERROR(IF(K80 = 1, "Completed module", IF(((70 - J80) / (1 - K80)) &gt; 100, "Unattainable", IF(((70 - J80) / (1 - K80)) &lt; 0, "Already attained", ((70 - J80) / (1 - K80))))), "-")</f>
        <v>-</v>
      </c>
      <c r="N80" s="234" t="str">
        <f>IFERROR(IF(K80 = 1, "Completed module", IF(((60 - J80) / (1 - K80)) &gt; 100, "Unattainable", IF(((60 - J80) / (1 - K80)) &lt; 0, "Already attained", ((60 - J80) / (1 - K80))))), "-")</f>
        <v>-</v>
      </c>
      <c r="O80" s="234" t="str">
        <f>IFERROR(IF(K80 = 1, "Completed module", IF(((50 - J80) / (1 - K80)) &gt; 100, "Unattainable", IF(((50 - J80) / (1 - K80)) &lt; 0, "Already attained", ((50 - J80) / (1 - K80))))), "-")</f>
        <v>-</v>
      </c>
      <c r="P80" s="235" t="str">
        <f>IFERROR(IF(K80 = 1, "Completed module", IF(((40 - J80) / (1 - K80)) &gt; 100, "Unattainable", IF(((40 - J80) / (1 - K80)) &lt; 0, "Already attained", ((40 - J80) / (1 - K80))))), "-")</f>
        <v>-</v>
      </c>
    </row>
    <row r="81" spans="1:16" ht="54" thickTop="1" thickBot="1">
      <c r="A81" s="227" t="s">
        <v>485</v>
      </c>
      <c r="B81" s="228" t="s">
        <v>486</v>
      </c>
      <c r="C81" s="229">
        <v>5</v>
      </c>
      <c r="D81" s="314">
        <v>8.3299999999999999E-2</v>
      </c>
      <c r="E81" s="230">
        <v>0.5</v>
      </c>
      <c r="F81" s="231" t="s">
        <v>255</v>
      </c>
      <c r="G81" s="232"/>
      <c r="H81" s="231"/>
      <c r="I81" s="233"/>
      <c r="J81" s="234" t="e">
        <f>IF(G81=1, I81, SUMPRODUCT(I81:I81, G81:G81))</f>
        <v>#VALUE!</v>
      </c>
      <c r="K81" s="234" t="e">
        <f>SUMIF(I81:I81, "&lt;&gt;", G81:G81) / SUMIF(G81:G81, "&lt;&gt;")</f>
        <v>#DIV/0!</v>
      </c>
      <c r="L81" s="234" t="str">
        <f>IFERROR(J81/K81, "No grades yet")</f>
        <v>No grades yet</v>
      </c>
      <c r="M81" s="234" t="str">
        <f>IFERROR(IF(K81 = 1, "Completed module", IF(((70 - J81) / (1 - K81)) &gt; 100, "Unattainable", IF(((70 - J81) / (1 - K81)) &lt; 0, "Already attained", ((70 - J81) / (1 - K81))))), "-")</f>
        <v>-</v>
      </c>
      <c r="N81" s="234" t="str">
        <f>IFERROR(IF(K81 = 1, "Completed module", IF(((60 - J81) / (1 - K81)) &gt; 100, "Unattainable", IF(((60 - J81) / (1 - K81)) &lt; 0, "Already attained", ((60 - J81) / (1 - K81))))), "-")</f>
        <v>-</v>
      </c>
      <c r="O81" s="234" t="str">
        <f>IFERROR(IF(K81 = 1, "Completed module", IF(((50 - J81) / (1 - K81)) &gt; 100, "Unattainable", IF(((50 - J81) / (1 - K81)) &lt; 0, "Already attained", ((50 - J81) / (1 - K81))))), "-")</f>
        <v>-</v>
      </c>
      <c r="P81" s="235" t="str">
        <f>IFERROR(IF(K81 = 1, "Completed module", IF(((40 - J81) / (1 - K81)) &gt; 100, "Unattainable", IF(((40 - J81) / (1 - K81)) &lt; 0, "Already attained", ((40 - J81) / (1 - K81))))), "-")</f>
        <v>-</v>
      </c>
    </row>
    <row r="82" spans="1:16" ht="54" thickTop="1" thickBot="1">
      <c r="A82" s="227" t="s">
        <v>487</v>
      </c>
      <c r="B82" s="228" t="s">
        <v>488</v>
      </c>
      <c r="C82" s="229">
        <v>7</v>
      </c>
      <c r="D82" s="314">
        <v>8.3299999999999999E-2</v>
      </c>
      <c r="E82" s="230">
        <v>0.5</v>
      </c>
      <c r="F82" s="231" t="s">
        <v>255</v>
      </c>
      <c r="G82" s="232"/>
      <c r="H82" s="231"/>
      <c r="I82" s="233"/>
      <c r="J82" s="234" t="e">
        <f>IF(G82=1, I82, SUMPRODUCT(I82:I82, G82:G82))</f>
        <v>#VALUE!</v>
      </c>
      <c r="K82" s="234" t="e">
        <f>SUMIF(I82:I82, "&lt;&gt;", G82:G82) / SUMIF(G82:G82, "&lt;&gt;")</f>
        <v>#DIV/0!</v>
      </c>
      <c r="L82" s="234" t="str">
        <f>IFERROR(J82/K82, "No grades yet")</f>
        <v>No grades yet</v>
      </c>
      <c r="M82" s="234" t="str">
        <f>IFERROR(IF(K82 = 1, "Completed module", IF(((70 - J82) / (1 - K82)) &gt; 100, "Unattainable", IF(((70 - J82) / (1 - K82)) &lt; 0, "Already attained", ((70 - J82) / (1 - K82))))), "-")</f>
        <v>-</v>
      </c>
      <c r="N82" s="234" t="str">
        <f>IFERROR(IF(K82 = 1, "Completed module", IF(((60 - J82) / (1 - K82)) &gt; 100, "Unattainable", IF(((60 - J82) / (1 - K82)) &lt; 0, "Already attained", ((60 - J82) / (1 - K82))))), "-")</f>
        <v>-</v>
      </c>
      <c r="O82" s="234" t="str">
        <f>IFERROR(IF(K82 = 1, "Completed module", IF(((50 - J82) / (1 - K82)) &gt; 100, "Unattainable", IF(((50 - J82) / (1 - K82)) &lt; 0, "Already attained", ((50 - J82) / (1 - K82))))), "-")</f>
        <v>-</v>
      </c>
      <c r="P82" s="235" t="str">
        <f>IFERROR(IF(K82 = 1, "Completed module", IF(((40 - J82) / (1 - K82)) &gt; 100, "Unattainable", IF(((40 - J82) / (1 - K82)) &lt; 0, "Already attained", ((40 - J82) / (1 - K82))))), "-")</f>
        <v>-</v>
      </c>
    </row>
    <row r="83" spans="1:16" ht="54" thickTop="1" thickBot="1">
      <c r="A83" s="227" t="s">
        <v>489</v>
      </c>
      <c r="B83" s="228" t="s">
        <v>490</v>
      </c>
      <c r="C83" s="229">
        <v>5</v>
      </c>
      <c r="D83" s="314">
        <v>8.3299999999999999E-2</v>
      </c>
      <c r="E83" s="230">
        <v>0.5</v>
      </c>
      <c r="F83" s="231" t="s">
        <v>255</v>
      </c>
      <c r="G83" s="232"/>
      <c r="H83" s="231"/>
      <c r="I83" s="233"/>
      <c r="J83" s="234" t="e">
        <f>IF(G83=1, I83, SUMPRODUCT(I83:I83, G83:G83))</f>
        <v>#VALUE!</v>
      </c>
      <c r="K83" s="234" t="e">
        <f>SUMIF(I83:I83, "&lt;&gt;", G83:G83) / SUMIF(G83:G83, "&lt;&gt;")</f>
        <v>#DIV/0!</v>
      </c>
      <c r="L83" s="234" t="str">
        <f>IFERROR(J83/K83, "No grades yet")</f>
        <v>No grades yet</v>
      </c>
      <c r="M83" s="234" t="str">
        <f>IFERROR(IF(K83 = 1, "Completed module", IF(((70 - J83) / (1 - K83)) &gt; 100, "Unattainable", IF(((70 - J83) / (1 - K83)) &lt; 0, "Already attained", ((70 - J83) / (1 - K83))))), "-")</f>
        <v>-</v>
      </c>
      <c r="N83" s="234" t="str">
        <f>IFERROR(IF(K83 = 1, "Completed module", IF(((60 - J83) / (1 - K83)) &gt; 100, "Unattainable", IF(((60 - J83) / (1 - K83)) &lt; 0, "Already attained", ((60 - J83) / (1 - K83))))), "-")</f>
        <v>-</v>
      </c>
      <c r="O83" s="234" t="str">
        <f>IFERROR(IF(K83 = 1, "Completed module", IF(((50 - J83) / (1 - K83)) &gt; 100, "Unattainable", IF(((50 - J83) / (1 - K83)) &lt; 0, "Already attained", ((50 - J83) / (1 - K83))))), "-")</f>
        <v>-</v>
      </c>
      <c r="P83" s="235" t="str">
        <f>IFERROR(IF(K83 = 1, "Completed module", IF(((40 - J83) / (1 - K83)) &gt; 100, "Unattainable", IF(((40 - J83) / (1 - K83)) &lt; 0, "Already attained", ((40 - J83) / (1 - K83))))), "-")</f>
        <v>-</v>
      </c>
    </row>
    <row r="84" spans="1:16" ht="54" thickTop="1" thickBot="1">
      <c r="A84" s="227" t="s">
        <v>491</v>
      </c>
      <c r="B84" s="228" t="s">
        <v>367</v>
      </c>
      <c r="C84" s="229">
        <v>5</v>
      </c>
      <c r="D84" s="314">
        <v>8.3299999999999999E-2</v>
      </c>
      <c r="E84" s="230">
        <v>0.5</v>
      </c>
      <c r="F84" s="231" t="s">
        <v>255</v>
      </c>
      <c r="G84" s="232"/>
      <c r="H84" s="231"/>
      <c r="I84" s="233"/>
      <c r="J84" s="234" t="e">
        <f>IF(G84=1, I84, SUMPRODUCT(I84:I84, G84:G84))</f>
        <v>#VALUE!</v>
      </c>
      <c r="K84" s="234" t="e">
        <f>SUMIF(I84:I84, "&lt;&gt;", G84:G84) / SUMIF(G84:G84, "&lt;&gt;")</f>
        <v>#DIV/0!</v>
      </c>
      <c r="L84" s="234" t="str">
        <f>IFERROR(J84/K84, "No grades yet")</f>
        <v>No grades yet</v>
      </c>
      <c r="M84" s="234" t="str">
        <f>IFERROR(IF(K84 = 1, "Completed module", IF(((70 - J84) / (1 - K84)) &gt; 100, "Unattainable", IF(((70 - J84) / (1 - K84)) &lt; 0, "Already attained", ((70 - J84) / (1 - K84))))), "-")</f>
        <v>-</v>
      </c>
      <c r="N84" s="234" t="str">
        <f>IFERROR(IF(K84 = 1, "Completed module", IF(((60 - J84) / (1 - K84)) &gt; 100, "Unattainable", IF(((60 - J84) / (1 - K84)) &lt; 0, "Already attained", ((60 - J84) / (1 - K84))))), "-")</f>
        <v>-</v>
      </c>
      <c r="O84" s="234" t="str">
        <f>IFERROR(IF(K84 = 1, "Completed module", IF(((50 - J84) / (1 - K84)) &gt; 100, "Unattainable", IF(((50 - J84) / (1 - K84)) &lt; 0, "Already attained", ((50 - J84) / (1 - K84))))), "-")</f>
        <v>-</v>
      </c>
      <c r="P84" s="235" t="str">
        <f>IFERROR(IF(K84 = 1, "Completed module", IF(((40 - J84) / (1 - K84)) &gt; 100, "Unattainable", IF(((40 - J84) / (1 - K84)) &lt; 0, "Already attained", ((40 - J84) / (1 - K84))))), "-")</f>
        <v>-</v>
      </c>
    </row>
    <row r="85" spans="1:16" ht="54" thickTop="1" thickBot="1">
      <c r="A85" s="227" t="s">
        <v>456</v>
      </c>
      <c r="B85" s="228" t="s">
        <v>369</v>
      </c>
      <c r="C85" s="229">
        <v>5</v>
      </c>
      <c r="D85" s="314">
        <v>8.3299999999999999E-2</v>
      </c>
      <c r="E85" s="230">
        <v>0.5</v>
      </c>
      <c r="F85" s="231" t="s">
        <v>255</v>
      </c>
      <c r="G85" s="232"/>
      <c r="H85" s="231"/>
      <c r="I85" s="233"/>
      <c r="J85" s="234" t="e">
        <f>IF(G85=1, I85, SUMPRODUCT(I85:I85, G85:G85))</f>
        <v>#VALUE!</v>
      </c>
      <c r="K85" s="234" t="e">
        <f>SUMIF(I85:I85, "&lt;&gt;", G85:G85) / SUMIF(G85:G85, "&lt;&gt;")</f>
        <v>#DIV/0!</v>
      </c>
      <c r="L85" s="234" t="str">
        <f>IFERROR(J85/K85, "No grades yet")</f>
        <v>No grades yet</v>
      </c>
      <c r="M85" s="234" t="str">
        <f>IFERROR(IF(K85 = 1, "Completed module", IF(((70 - J85) / (1 - K85)) &gt; 100, "Unattainable", IF(((70 - J85) / (1 - K85)) &lt; 0, "Already attained", ((70 - J85) / (1 - K85))))), "-")</f>
        <v>-</v>
      </c>
      <c r="N85" s="234" t="str">
        <f>IFERROR(IF(K85 = 1, "Completed module", IF(((60 - J85) / (1 - K85)) &gt; 100, "Unattainable", IF(((60 - J85) / (1 - K85)) &lt; 0, "Already attained", ((60 - J85) / (1 - K85))))), "-")</f>
        <v>-</v>
      </c>
      <c r="O85" s="234" t="str">
        <f>IFERROR(IF(K85 = 1, "Completed module", IF(((50 - J85) / (1 - K85)) &gt; 100, "Unattainable", IF(((50 - J85) / (1 - K85)) &lt; 0, "Already attained", ((50 - J85) / (1 - K85))))), "-")</f>
        <v>-</v>
      </c>
      <c r="P85" s="235" t="str">
        <f>IFERROR(IF(K85 = 1, "Completed module", IF(((40 - J85) / (1 - K85)) &gt; 100, "Unattainable", IF(((40 - J85) / (1 - K85)) &lt; 0, "Already attained", ((40 - J85) / (1 - K85))))), "-")</f>
        <v>-</v>
      </c>
    </row>
    <row r="86" spans="1:16" ht="54" thickTop="1" thickBot="1">
      <c r="A86" s="226" t="s">
        <v>455</v>
      </c>
      <c r="B86" s="225" t="s">
        <v>364</v>
      </c>
      <c r="C86" s="218">
        <v>5</v>
      </c>
      <c r="D86" s="313">
        <v>8.3299999999999999E-2</v>
      </c>
      <c r="E86" s="219">
        <v>0.5</v>
      </c>
      <c r="F86" s="220" t="s">
        <v>255</v>
      </c>
      <c r="G86" s="221"/>
      <c r="H86" s="220"/>
      <c r="I86" s="222"/>
      <c r="J86" s="223" t="e">
        <f>IF(G86=1, I86, SUMPRODUCT(I86:I86, G86:G86))</f>
        <v>#VALUE!</v>
      </c>
      <c r="K86" s="223" t="e">
        <f>SUMIF(I86:I86, "&lt;&gt;", G86:G86) / SUMIF(G86:G86, "&lt;&gt;")</f>
        <v>#DIV/0!</v>
      </c>
      <c r="L86" s="223" t="str">
        <f>IFERROR(J86/K86, "No grades yet")</f>
        <v>No grades yet</v>
      </c>
      <c r="M86" s="223" t="str">
        <f>IFERROR(IF(K86 = 1, "Completed module", IF(((70 - J86) / (1 - K86)) &gt; 100, "Unattainable", IF(((70 - J86) / (1 - K86)) &lt; 0, "Already attained", ((70 - J86) / (1 - K86))))), "-")</f>
        <v>-</v>
      </c>
      <c r="N86" s="223" t="str">
        <f>IFERROR(IF(K86 = 1, "Completed module", IF(((60 - J86) / (1 - K86)) &gt; 100, "Unattainable", IF(((60 - J86) / (1 - K86)) &lt; 0, "Already attained", ((60 - J86) / (1 - K86))))), "-")</f>
        <v>-</v>
      </c>
      <c r="O86" s="223" t="str">
        <f>IFERROR(IF(K86 = 1, "Completed module", IF(((50 - J86) / (1 - K86)) &gt; 100, "Unattainable", IF(((50 - J86) / (1 - K86)) &lt; 0, "Already attained", ((50 - J86) / (1 - K86))))), "-")</f>
        <v>-</v>
      </c>
      <c r="P86" s="224" t="str">
        <f>IFERROR(IF(K86 = 1, "Completed module", IF(((40 - J86) / (1 - K86)) &gt; 100, "Unattainable", IF(((40 - J86) / (1 - K86)) &lt; 0, "Already attained", ((40 - J86) / (1 - K86))))), "-")</f>
        <v>-</v>
      </c>
    </row>
    <row r="87" spans="1:16" ht="13.8" thickTop="1"/>
    <row r="88" spans="1:16" ht="13.8" thickBot="1">
      <c r="A88" s="52" t="s">
        <v>371</v>
      </c>
    </row>
    <row r="89" spans="1:16" ht="27.6" thickTop="1" thickBot="1">
      <c r="A89" s="27" t="s">
        <v>65</v>
      </c>
      <c r="B89" s="28" t="s">
        <v>1</v>
      </c>
      <c r="C89" s="28" t="s">
        <v>0</v>
      </c>
      <c r="D89" s="28" t="s">
        <v>91</v>
      </c>
      <c r="E89" s="28" t="s">
        <v>92</v>
      </c>
      <c r="F89" s="114" t="s">
        <v>224</v>
      </c>
      <c r="G89" s="114"/>
      <c r="H89" s="114"/>
      <c r="I89" s="28" t="s">
        <v>2</v>
      </c>
      <c r="J89" s="28" t="s">
        <v>3</v>
      </c>
      <c r="K89" s="28" t="s">
        <v>4</v>
      </c>
      <c r="L89" s="28" t="s">
        <v>5</v>
      </c>
      <c r="M89" s="28" t="s">
        <v>193</v>
      </c>
      <c r="N89" s="28" t="s">
        <v>7</v>
      </c>
      <c r="O89" s="28" t="s">
        <v>194</v>
      </c>
      <c r="P89" s="29" t="s">
        <v>195</v>
      </c>
    </row>
    <row r="90" spans="1:16" ht="14.4" thickTop="1" thickBot="1">
      <c r="A90" s="227" t="s">
        <v>421</v>
      </c>
      <c r="B90" s="228" t="s">
        <v>439</v>
      </c>
      <c r="C90" s="229">
        <v>5</v>
      </c>
      <c r="D90" s="314">
        <v>8.3299999999999999E-2</v>
      </c>
      <c r="E90" s="230">
        <v>0.5</v>
      </c>
      <c r="F90" s="306" t="s">
        <v>199</v>
      </c>
      <c r="G90" s="315">
        <v>1</v>
      </c>
      <c r="H90" s="306" t="s">
        <v>423</v>
      </c>
      <c r="I90" s="233"/>
      <c r="J90" s="234">
        <f>IF(G90=1, I90, SUMPRODUCT(I90:I90, G90:G90))</f>
        <v>0</v>
      </c>
      <c r="K90" s="234">
        <f>SUMIF(I90:I90, "&lt;&gt;", G90:G90) / SUMIF(G90:G90, "&lt;&gt;")</f>
        <v>0</v>
      </c>
      <c r="L90" s="234" t="str">
        <f>IFERROR(J90/K90, "No grades yet")</f>
        <v>No grades yet</v>
      </c>
      <c r="M90" s="234">
        <f>IFERROR(IF(K90 = 1, "Completed module", IF(((70 - J90) / (1 - K90)) &gt; 100, "Unattainable", IF(((70 - J90) / (1 - K90)) &lt; 0, "Already attained", ((70 - J90) / (1 - K90))))), "-")</f>
        <v>70</v>
      </c>
      <c r="N90" s="234">
        <f>IFERROR(IF(K90 = 1, "Completed module", IF(((60 - J90) / (1 - K90)) &gt; 100, "Unattainable", IF(((60 - J90) / (1 - K90)) &lt; 0, "Already attained", ((60 - J90) / (1 - K90))))), "-")</f>
        <v>60</v>
      </c>
      <c r="O90" s="234">
        <f>IFERROR(IF(K90 = 1, "Completed module", IF(((50 - J90) / (1 - K90)) &gt; 100, "Unattainable", IF(((50 - J90) / (1 - K90)) &lt; 0, "Already attained", ((50 - J90) / (1 - K90))))), "-")</f>
        <v>50</v>
      </c>
      <c r="P90" s="235">
        <f>IFERROR(IF(K90 = 1, "Completed module", IF(((40 - J90) / (1 - K90)) &gt; 100, "Unattainable", IF(((40 - J90) / (1 - K90)) &lt; 0, "Already attained", ((40 - J90) / (1 - K90))))), "-")</f>
        <v>40</v>
      </c>
    </row>
    <row r="91" spans="1:16" ht="13.8" thickTop="1">
      <c r="A91" s="204" t="s">
        <v>424</v>
      </c>
      <c r="B91" s="201" t="s">
        <v>440</v>
      </c>
      <c r="C91" s="194">
        <v>5</v>
      </c>
      <c r="D91" s="310">
        <v>8.3299999999999999E-2</v>
      </c>
      <c r="E91" s="195">
        <v>0.5</v>
      </c>
      <c r="F91" s="196" t="s">
        <v>199</v>
      </c>
      <c r="G91" s="214">
        <v>0.1</v>
      </c>
      <c r="H91" s="196" t="s">
        <v>441</v>
      </c>
      <c r="I91" s="186"/>
      <c r="J91" s="158">
        <f>IF(G91=1, I91, SUMPRODUCT(I91:I93, G91:G93))</f>
        <v>0</v>
      </c>
      <c r="K91" s="158">
        <f>SUMIF(I91:I93, "&lt;&gt;", G91:G93) / SUMIF(G91:G93, "&lt;&gt;")</f>
        <v>0</v>
      </c>
      <c r="L91" s="158" t="str">
        <f>IFERROR(J91/K91, "No grades yet")</f>
        <v>No grades yet</v>
      </c>
      <c r="M91" s="158">
        <f>IFERROR(IF(K91 = 1, "Completed module", IF(((70 - J91) / (1 - K91)) &gt; 100, "Unattainable", IF(((70 - J91) / (1 - K91)) &lt; 0, "Already attained", ((70 - J91) / (1 - K91))))), "-")</f>
        <v>70</v>
      </c>
      <c r="N91" s="158">
        <f>IFERROR(IF(K91 = 1, "Completed module", IF(((60 - J91) / (1 - K91)) &gt; 100, "Unattainable", IF(((60 - J91) / (1 - K91)) &lt; 0, "Already attained", ((60 - J91) / (1 - K91))))), "-")</f>
        <v>60</v>
      </c>
      <c r="O91" s="158">
        <f>IFERROR(IF(K91 = 1, "Completed module", IF(((50 - J91) / (1 - K91)) &gt; 100, "Unattainable", IF(((50 - J91) / (1 - K91)) &lt; 0, "Already attained", ((50 - J91) / (1 - K91))))), "-")</f>
        <v>50</v>
      </c>
      <c r="P91" s="166">
        <f>IFERROR(IF(K91 = 1, "Completed module", IF(((40 - J91) / (1 - K91)) &gt; 100, "Unattainable", IF(((40 - J91) / (1 - K91)) &lt; 0, "Already attained", ((40 - J91) / (1 - K91))))), "-")</f>
        <v>40</v>
      </c>
    </row>
    <row r="92" spans="1:16">
      <c r="A92" s="205"/>
      <c r="B92" s="202"/>
      <c r="C92" s="191"/>
      <c r="D92" s="309"/>
      <c r="E92" s="192"/>
      <c r="F92" s="193" t="s">
        <v>199</v>
      </c>
      <c r="G92" s="213">
        <v>0.1</v>
      </c>
      <c r="H92" s="193" t="s">
        <v>442</v>
      </c>
      <c r="I92" s="185"/>
      <c r="J92" s="148"/>
      <c r="K92" s="148"/>
      <c r="L92" s="148"/>
      <c r="M92" s="148"/>
      <c r="N92" s="148"/>
      <c r="O92" s="148"/>
      <c r="P92" s="167"/>
    </row>
    <row r="93" spans="1:16" ht="40.200000000000003" customHeight="1" thickBot="1">
      <c r="A93" s="207"/>
      <c r="B93" s="208"/>
      <c r="C93" s="209"/>
      <c r="D93" s="312"/>
      <c r="E93" s="210"/>
      <c r="F93" s="211" t="s">
        <v>199</v>
      </c>
      <c r="G93" s="216">
        <v>0.8</v>
      </c>
      <c r="H93" s="211" t="s">
        <v>443</v>
      </c>
      <c r="I93" s="212"/>
      <c r="J93" s="183"/>
      <c r="K93" s="183"/>
      <c r="L93" s="183"/>
      <c r="M93" s="183"/>
      <c r="N93" s="183"/>
      <c r="O93" s="183"/>
      <c r="P93" s="184"/>
    </row>
    <row r="94" spans="1:16" ht="14.4" thickTop="1" thickBot="1">
      <c r="A94" s="227" t="s">
        <v>429</v>
      </c>
      <c r="B94" s="228" t="s">
        <v>430</v>
      </c>
      <c r="C94" s="229">
        <v>5</v>
      </c>
      <c r="D94" s="314">
        <v>8.3299999999999999E-2</v>
      </c>
      <c r="E94" s="230">
        <v>0.4</v>
      </c>
      <c r="F94" s="306" t="s">
        <v>431</v>
      </c>
      <c r="G94" s="317"/>
      <c r="H94" s="306"/>
      <c r="I94" s="233"/>
      <c r="J94" s="234" t="e">
        <f>IF(G94=1, I94, SUMPRODUCT(I94:I94, G94:G94))</f>
        <v>#VALUE!</v>
      </c>
      <c r="K94" s="234" t="e">
        <f>SUMIF(I94:I94, "&lt;&gt;", G94:G94) / SUMIF(G94:G94, "&lt;&gt;")</f>
        <v>#DIV/0!</v>
      </c>
      <c r="L94" s="234" t="str">
        <f>IFERROR(J94/K94, "No grades yet")</f>
        <v>No grades yet</v>
      </c>
      <c r="M94" s="234" t="str">
        <f>IFERROR(IF(K94 = 1, "Completed module", IF(((70 - J94) / (1 - K94)) &gt; 100, "Unattainable", IF(((70 - J94) / (1 - K94)) &lt; 0, "Already attained", ((70 - J94) / (1 - K94))))), "-")</f>
        <v>-</v>
      </c>
      <c r="N94" s="234" t="str">
        <f>IFERROR(IF(K94 = 1, "Completed module", IF(((60 - J94) / (1 - K94)) &gt; 100, "Unattainable", IF(((60 - J94) / (1 - K94)) &lt; 0, "Already attained", ((60 - J94) / (1 - K94))))), "-")</f>
        <v>-</v>
      </c>
      <c r="O94" s="234" t="str">
        <f>IFERROR(IF(K94 = 1, "Completed module", IF(((50 - J94) / (1 - K94)) &gt; 100, "Unattainable", IF(((50 - J94) / (1 - K94)) &lt; 0, "Already attained", ((50 - J94) / (1 - K94))))), "-")</f>
        <v>-</v>
      </c>
      <c r="P94" s="235" t="str">
        <f>IFERROR(IF(K94 = 1, "Completed module", IF(((40 - J94) / (1 - K94)) &gt; 100, "Unattainable", IF(((40 - J94) / (1 - K94)) &lt; 0, "Already attained", ((40 - J94) / (1 - K94))))), "-")</f>
        <v>-</v>
      </c>
    </row>
    <row r="95" spans="1:16" ht="14.4" thickTop="1" thickBot="1">
      <c r="A95" s="227" t="s">
        <v>432</v>
      </c>
      <c r="B95" s="228" t="s">
        <v>433</v>
      </c>
      <c r="C95" s="229">
        <v>5</v>
      </c>
      <c r="D95" s="314">
        <v>8.3299999999999999E-2</v>
      </c>
      <c r="E95" s="230">
        <v>0.4</v>
      </c>
      <c r="F95" s="306" t="s">
        <v>431</v>
      </c>
      <c r="G95" s="317"/>
      <c r="H95" s="306"/>
      <c r="I95" s="233"/>
      <c r="J95" s="234" t="e">
        <f>IF(G95=1, I95, SUMPRODUCT(I95:I95, G95:G95))</f>
        <v>#VALUE!</v>
      </c>
      <c r="K95" s="234" t="e">
        <f>SUMIF(I95:I95, "&lt;&gt;", G95:G95) / SUMIF(G95:G95, "&lt;&gt;")</f>
        <v>#DIV/0!</v>
      </c>
      <c r="L95" s="234" t="str">
        <f>IFERROR(J95/K95, "No grades yet")</f>
        <v>No grades yet</v>
      </c>
      <c r="M95" s="234" t="str">
        <f>IFERROR(IF(K95 = 1, "Completed module", IF(((70 - J95) / (1 - K95)) &gt; 100, "Unattainable", IF(((70 - J95) / (1 - K95)) &lt; 0, "Already attained", ((70 - J95) / (1 - K95))))), "-")</f>
        <v>-</v>
      </c>
      <c r="N95" s="234" t="str">
        <f>IFERROR(IF(K95 = 1, "Completed module", IF(((60 - J95) / (1 - K95)) &gt; 100, "Unattainable", IF(((60 - J95) / (1 - K95)) &lt; 0, "Already attained", ((60 - J95) / (1 - K95))))), "-")</f>
        <v>-</v>
      </c>
      <c r="O95" s="234" t="str">
        <f>IFERROR(IF(K95 = 1, "Completed module", IF(((50 - J95) / (1 - K95)) &gt; 100, "Unattainable", IF(((50 - J95) / (1 - K95)) &lt; 0, "Already attained", ((50 - J95) / (1 - K95))))), "-")</f>
        <v>-</v>
      </c>
      <c r="P95" s="235" t="str">
        <f>IFERROR(IF(K95 = 1, "Completed module", IF(((40 - J95) / (1 - K95)) &gt; 100, "Unattainable", IF(((40 - J95) / (1 - K95)) &lt; 0, "Already attained", ((40 - J95) / (1 - K95))))), "-")</f>
        <v>-</v>
      </c>
    </row>
    <row r="96" spans="1:16" ht="14.4" thickTop="1" thickBot="1">
      <c r="A96" s="227" t="s">
        <v>253</v>
      </c>
      <c r="B96" s="228" t="s">
        <v>254</v>
      </c>
      <c r="C96" s="229">
        <v>5</v>
      </c>
      <c r="D96" s="314">
        <v>8.3299999999999999E-2</v>
      </c>
      <c r="E96" s="230">
        <v>0.4</v>
      </c>
      <c r="F96" s="306" t="s">
        <v>431</v>
      </c>
      <c r="G96" s="317"/>
      <c r="H96" s="306"/>
      <c r="I96" s="233"/>
      <c r="J96" s="234" t="e">
        <f>IF(G96=1, I96, SUMPRODUCT(I96:I96, G96:G96))</f>
        <v>#VALUE!</v>
      </c>
      <c r="K96" s="234" t="e">
        <f>SUMIF(I96:I96, "&lt;&gt;", G96:G96) / SUMIF(G96:G96, "&lt;&gt;")</f>
        <v>#DIV/0!</v>
      </c>
      <c r="L96" s="234" t="str">
        <f>IFERROR(J96/K96, "No grades yet")</f>
        <v>No grades yet</v>
      </c>
      <c r="M96" s="234" t="str">
        <f>IFERROR(IF(K96 = 1, "Completed module", IF(((70 - J96) / (1 - K96)) &gt; 100, "Unattainable", IF(((70 - J96) / (1 - K96)) &lt; 0, "Already attained", ((70 - J96) / (1 - K96))))), "-")</f>
        <v>-</v>
      </c>
      <c r="N96" s="234" t="str">
        <f>IFERROR(IF(K96 = 1, "Completed module", IF(((60 - J96) / (1 - K96)) &gt; 100, "Unattainable", IF(((60 - J96) / (1 - K96)) &lt; 0, "Already attained", ((60 - J96) / (1 - K96))))), "-")</f>
        <v>-</v>
      </c>
      <c r="O96" s="234" t="str">
        <f>IFERROR(IF(K96 = 1, "Completed module", IF(((50 - J96) / (1 - K96)) &gt; 100, "Unattainable", IF(((50 - J96) / (1 - K96)) &lt; 0, "Already attained", ((50 - J96) / (1 - K96))))), "-")</f>
        <v>-</v>
      </c>
      <c r="P96" s="235" t="str">
        <f>IFERROR(IF(K96 = 1, "Completed module", IF(((40 - J96) / (1 - K96)) &gt; 100, "Unattainable", IF(((40 - J96) / (1 - K96)) &lt; 0, "Already attained", ((40 - J96) / (1 - K96))))), "-")</f>
        <v>-</v>
      </c>
    </row>
    <row r="97" spans="1:16" ht="14.4" thickTop="1" thickBot="1">
      <c r="A97" s="227" t="s">
        <v>434</v>
      </c>
      <c r="B97" s="228" t="s">
        <v>237</v>
      </c>
      <c r="C97" s="229">
        <v>5</v>
      </c>
      <c r="D97" s="314">
        <v>8.3299999999999999E-2</v>
      </c>
      <c r="E97" s="230">
        <v>0.4</v>
      </c>
      <c r="F97" s="306" t="s">
        <v>431</v>
      </c>
      <c r="G97" s="317"/>
      <c r="H97" s="306"/>
      <c r="I97" s="233"/>
      <c r="J97" s="234" t="e">
        <f>IF(G97=1, I97, SUMPRODUCT(I97:I97, G97:G97))</f>
        <v>#VALUE!</v>
      </c>
      <c r="K97" s="234" t="e">
        <f>SUMIF(I97:I97, "&lt;&gt;", G97:G97) / SUMIF(G97:G97, "&lt;&gt;")</f>
        <v>#DIV/0!</v>
      </c>
      <c r="L97" s="234" t="str">
        <f>IFERROR(J97/K97, "No grades yet")</f>
        <v>No grades yet</v>
      </c>
      <c r="M97" s="234" t="str">
        <f>IFERROR(IF(K97 = 1, "Completed module", IF(((70 - J97) / (1 - K97)) &gt; 100, "Unattainable", IF(((70 - J97) / (1 - K97)) &lt; 0, "Already attained", ((70 - J97) / (1 - K97))))), "-")</f>
        <v>-</v>
      </c>
      <c r="N97" s="234" t="str">
        <f>IFERROR(IF(K97 = 1, "Completed module", IF(((60 - J97) / (1 - K97)) &gt; 100, "Unattainable", IF(((60 - J97) / (1 - K97)) &lt; 0, "Already attained", ((60 - J97) / (1 - K97))))), "-")</f>
        <v>-</v>
      </c>
      <c r="O97" s="234" t="str">
        <f>IFERROR(IF(K97 = 1, "Completed module", IF(((50 - J97) / (1 - K97)) &gt; 100, "Unattainable", IF(((50 - J97) / (1 - K97)) &lt; 0, "Already attained", ((50 - J97) / (1 - K97))))), "-")</f>
        <v>-</v>
      </c>
      <c r="P97" s="235" t="str">
        <f>IFERROR(IF(K97 = 1, "Completed module", IF(((40 - J97) / (1 - K97)) &gt; 100, "Unattainable", IF(((40 - J97) / (1 - K97)) &lt; 0, "Already attained", ((40 - J97) / (1 - K97))))), "-")</f>
        <v>-</v>
      </c>
    </row>
    <row r="98" spans="1:16" ht="14.4" thickTop="1" thickBot="1">
      <c r="A98" s="227" t="s">
        <v>256</v>
      </c>
      <c r="B98" s="228" t="s">
        <v>257</v>
      </c>
      <c r="C98" s="229">
        <v>5</v>
      </c>
      <c r="D98" s="314">
        <v>8.3299999999999999E-2</v>
      </c>
      <c r="E98" s="230">
        <v>0.4</v>
      </c>
      <c r="F98" s="306" t="s">
        <v>431</v>
      </c>
      <c r="G98" s="317"/>
      <c r="H98" s="306"/>
      <c r="I98" s="233"/>
      <c r="J98" s="234" t="e">
        <f>IF(G98=1, I98, SUMPRODUCT(I98:I98, G98:G98))</f>
        <v>#VALUE!</v>
      </c>
      <c r="K98" s="234" t="e">
        <f>SUMIF(I98:I98, "&lt;&gt;", G98:G98) / SUMIF(G98:G98, "&lt;&gt;")</f>
        <v>#DIV/0!</v>
      </c>
      <c r="L98" s="234" t="str">
        <f>IFERROR(J98/K98, "No grades yet")</f>
        <v>No grades yet</v>
      </c>
      <c r="M98" s="234" t="str">
        <f>IFERROR(IF(K98 = 1, "Completed module", IF(((70 - J98) / (1 - K98)) &gt; 100, "Unattainable", IF(((70 - J98) / (1 - K98)) &lt; 0, "Already attained", ((70 - J98) / (1 - K98))))), "-")</f>
        <v>-</v>
      </c>
      <c r="N98" s="234" t="str">
        <f>IFERROR(IF(K98 = 1, "Completed module", IF(((60 - J98) / (1 - K98)) &gt; 100, "Unattainable", IF(((60 - J98) / (1 - K98)) &lt; 0, "Already attained", ((60 - J98) / (1 - K98))))), "-")</f>
        <v>-</v>
      </c>
      <c r="O98" s="234" t="str">
        <f>IFERROR(IF(K98 = 1, "Completed module", IF(((50 - J98) / (1 - K98)) &gt; 100, "Unattainable", IF(((50 - J98) / (1 - K98)) &lt; 0, "Already attained", ((50 - J98) / (1 - K98))))), "-")</f>
        <v>-</v>
      </c>
      <c r="P98" s="235" t="str">
        <f>IFERROR(IF(K98 = 1, "Completed module", IF(((40 - J98) / (1 - K98)) &gt; 100, "Unattainable", IF(((40 - J98) / (1 - K98)) &lt; 0, "Already attained", ((40 - J98) / (1 - K98))))), "-")</f>
        <v>-</v>
      </c>
    </row>
    <row r="99" spans="1:16" ht="14.4" thickTop="1" thickBot="1">
      <c r="A99" s="227" t="s">
        <v>435</v>
      </c>
      <c r="B99" s="228" t="s">
        <v>436</v>
      </c>
      <c r="C99" s="229">
        <v>5</v>
      </c>
      <c r="D99" s="314">
        <v>8.3299999999999999E-2</v>
      </c>
      <c r="E99" s="230">
        <v>0.4</v>
      </c>
      <c r="F99" s="306" t="s">
        <v>431</v>
      </c>
      <c r="G99" s="317"/>
      <c r="H99" s="306"/>
      <c r="I99" s="233"/>
      <c r="J99" s="234" t="e">
        <f>IF(G99=1, I99, SUMPRODUCT(I99:I99, G99:G99))</f>
        <v>#VALUE!</v>
      </c>
      <c r="K99" s="234" t="e">
        <f>SUMIF(I99:I99, "&lt;&gt;", G99:G99) / SUMIF(G99:G99, "&lt;&gt;")</f>
        <v>#DIV/0!</v>
      </c>
      <c r="L99" s="234" t="str">
        <f>IFERROR(J99/K99, "No grades yet")</f>
        <v>No grades yet</v>
      </c>
      <c r="M99" s="234" t="str">
        <f>IFERROR(IF(K99 = 1, "Completed module", IF(((70 - J99) / (1 - K99)) &gt; 100, "Unattainable", IF(((70 - J99) / (1 - K99)) &lt; 0, "Already attained", ((70 - J99) / (1 - K99))))), "-")</f>
        <v>-</v>
      </c>
      <c r="N99" s="234" t="str">
        <f>IFERROR(IF(K99 = 1, "Completed module", IF(((60 - J99) / (1 - K99)) &gt; 100, "Unattainable", IF(((60 - J99) / (1 - K99)) &lt; 0, "Already attained", ((60 - J99) / (1 - K99))))), "-")</f>
        <v>-</v>
      </c>
      <c r="O99" s="234" t="str">
        <f>IFERROR(IF(K99 = 1, "Completed module", IF(((50 - J99) / (1 - K99)) &gt; 100, "Unattainable", IF(((50 - J99) / (1 - K99)) &lt; 0, "Already attained", ((50 - J99) / (1 - K99))))), "-")</f>
        <v>-</v>
      </c>
      <c r="P99" s="235" t="str">
        <f>IFERROR(IF(K99 = 1, "Completed module", IF(((40 - J99) / (1 - K99)) &gt; 100, "Unattainable", IF(((40 - J99) / (1 - K99)) &lt; 0, "Already attained", ((40 - J99) / (1 - K99))))), "-")</f>
        <v>-</v>
      </c>
    </row>
    <row r="100" spans="1:16" ht="14.4" thickTop="1" thickBot="1">
      <c r="A100" s="227" t="s">
        <v>437</v>
      </c>
      <c r="B100" s="228" t="s">
        <v>438</v>
      </c>
      <c r="C100" s="229">
        <v>5</v>
      </c>
      <c r="D100" s="314">
        <v>8.3299999999999999E-2</v>
      </c>
      <c r="E100" s="230">
        <v>0.4</v>
      </c>
      <c r="F100" s="306" t="s">
        <v>431</v>
      </c>
      <c r="G100" s="317"/>
      <c r="H100" s="306"/>
      <c r="I100" s="233"/>
      <c r="J100" s="234" t="e">
        <f>IF(G100=1, I100, SUMPRODUCT(I100:I100, G100:G100))</f>
        <v>#VALUE!</v>
      </c>
      <c r="K100" s="234" t="e">
        <f>SUMIF(I100:I100, "&lt;&gt;", G100:G100) / SUMIF(G100:G100, "&lt;&gt;")</f>
        <v>#DIV/0!</v>
      </c>
      <c r="L100" s="234" t="str">
        <f>IFERROR(J100/K100, "No grades yet")</f>
        <v>No grades yet</v>
      </c>
      <c r="M100" s="234" t="str">
        <f>IFERROR(IF(K100 = 1, "Completed module", IF(((70 - J100) / (1 - K100)) &gt; 100, "Unattainable", IF(((70 - J100) / (1 - K100)) &lt; 0, "Already attained", ((70 - J100) / (1 - K100))))), "-")</f>
        <v>-</v>
      </c>
      <c r="N100" s="234" t="str">
        <f>IFERROR(IF(K100 = 1, "Completed module", IF(((60 - J100) / (1 - K100)) &gt; 100, "Unattainable", IF(((60 - J100) / (1 - K100)) &lt; 0, "Already attained", ((60 - J100) / (1 - K100))))), "-")</f>
        <v>-</v>
      </c>
      <c r="O100" s="234" t="str">
        <f>IFERROR(IF(K100 = 1, "Completed module", IF(((50 - J100) / (1 - K100)) &gt; 100, "Unattainable", IF(((50 - J100) / (1 - K100)) &lt; 0, "Already attained", ((50 - J100) / (1 - K100))))), "-")</f>
        <v>-</v>
      </c>
      <c r="P100" s="235" t="str">
        <f>IFERROR(IF(K100 = 1, "Completed module", IF(((40 - J100) / (1 - K100)) &gt; 100, "Unattainable", IF(((40 - J100) / (1 - K100)) &lt; 0, "Already attained", ((40 - J100) / (1 - K100))))), "-")</f>
        <v>-</v>
      </c>
    </row>
    <row r="101" spans="1:16" ht="14.4" thickTop="1" thickBot="1">
      <c r="A101" s="226" t="s">
        <v>444</v>
      </c>
      <c r="B101" s="225" t="s">
        <v>445</v>
      </c>
      <c r="C101" s="218">
        <v>5</v>
      </c>
      <c r="D101" s="313">
        <v>8.3299999999999999E-2</v>
      </c>
      <c r="E101" s="219">
        <v>0.4</v>
      </c>
      <c r="F101" s="217" t="s">
        <v>431</v>
      </c>
      <c r="G101" s="316"/>
      <c r="H101" s="217"/>
      <c r="I101" s="222"/>
      <c r="J101" s="223" t="e">
        <f>IF(G101=1, I101, SUMPRODUCT(I101:I101, G101:G101))</f>
        <v>#VALUE!</v>
      </c>
      <c r="K101" s="223" t="e">
        <f>SUMIF(I101:I101, "&lt;&gt;", G101:G101) / SUMIF(G101:G101, "&lt;&gt;")</f>
        <v>#DIV/0!</v>
      </c>
      <c r="L101" s="223" t="str">
        <f>IFERROR(J101/K101, "No grades yet")</f>
        <v>No grades yet</v>
      </c>
      <c r="M101" s="223" t="str">
        <f>IFERROR(IF(K101 = 1, "Completed module", IF(((70 - J101) / (1 - K101)) &gt; 100, "Unattainable", IF(((70 - J101) / (1 - K101)) &lt; 0, "Already attained", ((70 - J101) / (1 - K101))))), "-")</f>
        <v>-</v>
      </c>
      <c r="N101" s="223" t="str">
        <f>IFERROR(IF(K101 = 1, "Completed module", IF(((60 - J101) / (1 - K101)) &gt; 100, "Unattainable", IF(((60 - J101) / (1 - K101)) &lt; 0, "Already attained", ((60 - J101) / (1 - K101))))), "-")</f>
        <v>-</v>
      </c>
      <c r="O101" s="223" t="str">
        <f>IFERROR(IF(K101 = 1, "Completed module", IF(((50 - J101) / (1 - K101)) &gt; 100, "Unattainable", IF(((50 - J101) / (1 - K101)) &lt; 0, "Already attained", ((50 - J101) / (1 - K101))))), "-")</f>
        <v>-</v>
      </c>
      <c r="P101" s="224" t="str">
        <f>IFERROR(IF(K101 = 1, "Completed module", IF(((40 - J101) / (1 - K101)) &gt; 100, "Unattainable", IF(((40 - J101) / (1 - K101)) &lt; 0, "Already attained", ((40 - J101) / (1 - K101))))), "-")</f>
        <v>-</v>
      </c>
    </row>
    <row r="102" spans="1:16" ht="13.8" thickTop="1"/>
  </sheetData>
  <mergeCells count="244">
    <mergeCell ref="N91:N93"/>
    <mergeCell ref="O91:O93"/>
    <mergeCell ref="P91:P93"/>
    <mergeCell ref="O60:O61"/>
    <mergeCell ref="P60:P61"/>
    <mergeCell ref="N19:N21"/>
    <mergeCell ref="O19:O21"/>
    <mergeCell ref="P19:P21"/>
    <mergeCell ref="J60:J61"/>
    <mergeCell ref="K60:K61"/>
    <mergeCell ref="L60:L61"/>
    <mergeCell ref="M60:M61"/>
    <mergeCell ref="N60:N61"/>
    <mergeCell ref="P68:P69"/>
    <mergeCell ref="O50:O53"/>
    <mergeCell ref="P50:P53"/>
    <mergeCell ref="N70:N71"/>
    <mergeCell ref="O70:O71"/>
    <mergeCell ref="P70:P71"/>
    <mergeCell ref="J50:J53"/>
    <mergeCell ref="K50:K53"/>
    <mergeCell ref="L50:L53"/>
    <mergeCell ref="M50:M53"/>
    <mergeCell ref="N50:N53"/>
    <mergeCell ref="A60:A61"/>
    <mergeCell ref="B60:B61"/>
    <mergeCell ref="C60:C61"/>
    <mergeCell ref="D60:D61"/>
    <mergeCell ref="E60:E61"/>
    <mergeCell ref="O54:O55"/>
    <mergeCell ref="P54:P55"/>
    <mergeCell ref="A57:A58"/>
    <mergeCell ref="B57:B58"/>
    <mergeCell ref="C57:C58"/>
    <mergeCell ref="D57:D58"/>
    <mergeCell ref="E57:E58"/>
    <mergeCell ref="J57:J58"/>
    <mergeCell ref="K57:K58"/>
    <mergeCell ref="L57:L58"/>
    <mergeCell ref="M57:M58"/>
    <mergeCell ref="N57:N58"/>
    <mergeCell ref="O57:O58"/>
    <mergeCell ref="P57:P58"/>
    <mergeCell ref="J54:J55"/>
    <mergeCell ref="K54:K55"/>
    <mergeCell ref="L54:L55"/>
    <mergeCell ref="M54:M55"/>
    <mergeCell ref="N54:N55"/>
    <mergeCell ref="A54:A55"/>
    <mergeCell ref="B54:B55"/>
    <mergeCell ref="C54:C55"/>
    <mergeCell ref="D54:D55"/>
    <mergeCell ref="E54:E55"/>
    <mergeCell ref="O66:O67"/>
    <mergeCell ref="P66:P67"/>
    <mergeCell ref="A62:A65"/>
    <mergeCell ref="B62:B65"/>
    <mergeCell ref="C62:C65"/>
    <mergeCell ref="D62:D65"/>
    <mergeCell ref="E62:E65"/>
    <mergeCell ref="J62:J65"/>
    <mergeCell ref="K62:K65"/>
    <mergeCell ref="L62:L65"/>
    <mergeCell ref="M62:M65"/>
    <mergeCell ref="N62:N65"/>
    <mergeCell ref="O62:O65"/>
    <mergeCell ref="P62:P65"/>
    <mergeCell ref="J66:J67"/>
    <mergeCell ref="K66:K67"/>
    <mergeCell ref="L66:L67"/>
    <mergeCell ref="M66:M67"/>
    <mergeCell ref="N66:N67"/>
    <mergeCell ref="A66:A67"/>
    <mergeCell ref="B66:B67"/>
    <mergeCell ref="C66:C67"/>
    <mergeCell ref="D66:D67"/>
    <mergeCell ref="E66:E67"/>
    <mergeCell ref="L68:L69"/>
    <mergeCell ref="M68:M69"/>
    <mergeCell ref="N68:N69"/>
    <mergeCell ref="O68:O69"/>
    <mergeCell ref="C68:C69"/>
    <mergeCell ref="D68:D69"/>
    <mergeCell ref="E68:E69"/>
    <mergeCell ref="J68:J69"/>
    <mergeCell ref="K68:K69"/>
    <mergeCell ref="A68:A69"/>
    <mergeCell ref="B68:B69"/>
    <mergeCell ref="A70:A71"/>
    <mergeCell ref="B70:B71"/>
    <mergeCell ref="C70:C71"/>
    <mergeCell ref="D70:D71"/>
    <mergeCell ref="E70:E71"/>
    <mergeCell ref="J70:J71"/>
    <mergeCell ref="K70:K71"/>
    <mergeCell ref="L70:L71"/>
    <mergeCell ref="M70:M71"/>
    <mergeCell ref="A50:A53"/>
    <mergeCell ref="B50:B53"/>
    <mergeCell ref="C50:C53"/>
    <mergeCell ref="D50:D53"/>
    <mergeCell ref="E50:E53"/>
    <mergeCell ref="O41:O46"/>
    <mergeCell ref="P41:P46"/>
    <mergeCell ref="A47:A49"/>
    <mergeCell ref="B47:B49"/>
    <mergeCell ref="C47:C49"/>
    <mergeCell ref="D47:D49"/>
    <mergeCell ref="E47:E49"/>
    <mergeCell ref="J47:J49"/>
    <mergeCell ref="K47:K49"/>
    <mergeCell ref="L47:L49"/>
    <mergeCell ref="M47:M49"/>
    <mergeCell ref="N47:N49"/>
    <mergeCell ref="O47:O49"/>
    <mergeCell ref="P47:P49"/>
    <mergeCell ref="J41:J46"/>
    <mergeCell ref="K41:K46"/>
    <mergeCell ref="L41:L46"/>
    <mergeCell ref="M41:M46"/>
    <mergeCell ref="N41:N46"/>
    <mergeCell ref="A41:A46"/>
    <mergeCell ref="B41:B46"/>
    <mergeCell ref="C41:C46"/>
    <mergeCell ref="D41:D46"/>
    <mergeCell ref="E41:E46"/>
    <mergeCell ref="O36:O37"/>
    <mergeCell ref="P36:P37"/>
    <mergeCell ref="A38:A39"/>
    <mergeCell ref="B38:B39"/>
    <mergeCell ref="C38:C39"/>
    <mergeCell ref="D38:D39"/>
    <mergeCell ref="E38:E39"/>
    <mergeCell ref="J38:J39"/>
    <mergeCell ref="K38:K39"/>
    <mergeCell ref="L38:L39"/>
    <mergeCell ref="M38:M39"/>
    <mergeCell ref="N38:N39"/>
    <mergeCell ref="O38:O39"/>
    <mergeCell ref="P38:P39"/>
    <mergeCell ref="J36:J37"/>
    <mergeCell ref="K36:K37"/>
    <mergeCell ref="L36:L37"/>
    <mergeCell ref="M36:M37"/>
    <mergeCell ref="N36:N37"/>
    <mergeCell ref="A36:A37"/>
    <mergeCell ref="B36:B37"/>
    <mergeCell ref="C36:C37"/>
    <mergeCell ref="D36:D37"/>
    <mergeCell ref="E36:E37"/>
    <mergeCell ref="O30:O33"/>
    <mergeCell ref="P30:P33"/>
    <mergeCell ref="A3:A5"/>
    <mergeCell ref="B3:B5"/>
    <mergeCell ref="C3:C5"/>
    <mergeCell ref="D3:D5"/>
    <mergeCell ref="E3:E5"/>
    <mergeCell ref="J3:J5"/>
    <mergeCell ref="K3:K5"/>
    <mergeCell ref="L3:L5"/>
    <mergeCell ref="M3:M5"/>
    <mergeCell ref="N3:N5"/>
    <mergeCell ref="O3:O5"/>
    <mergeCell ref="P3:P5"/>
    <mergeCell ref="J30:J33"/>
    <mergeCell ref="K30:K33"/>
    <mergeCell ref="L30:L33"/>
    <mergeCell ref="M30:M33"/>
    <mergeCell ref="N30:N33"/>
    <mergeCell ref="A30:A33"/>
    <mergeCell ref="B30:B33"/>
    <mergeCell ref="C30:C33"/>
    <mergeCell ref="D30:D33"/>
    <mergeCell ref="E30:E33"/>
    <mergeCell ref="L22:L29"/>
    <mergeCell ref="M22:M29"/>
    <mergeCell ref="N22:N29"/>
    <mergeCell ref="O22:O29"/>
    <mergeCell ref="A22:A29"/>
    <mergeCell ref="B22:B29"/>
    <mergeCell ref="P22:P29"/>
    <mergeCell ref="C22:C29"/>
    <mergeCell ref="D22:D29"/>
    <mergeCell ref="E22:E29"/>
    <mergeCell ref="J22:J29"/>
    <mergeCell ref="K22:K29"/>
    <mergeCell ref="P15:P17"/>
    <mergeCell ref="E19:E21"/>
    <mergeCell ref="J19:J21"/>
    <mergeCell ref="K19:K21"/>
    <mergeCell ref="L19:L21"/>
    <mergeCell ref="M19:M21"/>
    <mergeCell ref="N15:N17"/>
    <mergeCell ref="O15:O17"/>
    <mergeCell ref="M13:M14"/>
    <mergeCell ref="C9:C12"/>
    <mergeCell ref="E9:E12"/>
    <mergeCell ref="D9:D12"/>
    <mergeCell ref="A15:A17"/>
    <mergeCell ref="B15:B17"/>
    <mergeCell ref="C15:C17"/>
    <mergeCell ref="D15:D17"/>
    <mergeCell ref="E15:E17"/>
    <mergeCell ref="J15:J17"/>
    <mergeCell ref="K15:K17"/>
    <mergeCell ref="L15:L17"/>
    <mergeCell ref="M15:M17"/>
    <mergeCell ref="J9:J12"/>
    <mergeCell ref="K9:K12"/>
    <mergeCell ref="L9:L12"/>
    <mergeCell ref="M9:M12"/>
    <mergeCell ref="F2:H2"/>
    <mergeCell ref="F8:H8"/>
    <mergeCell ref="F89:H89"/>
    <mergeCell ref="A7:B7"/>
    <mergeCell ref="P9:P12"/>
    <mergeCell ref="C13:C14"/>
    <mergeCell ref="A9:A12"/>
    <mergeCell ref="B9:B12"/>
    <mergeCell ref="A13:A14"/>
    <mergeCell ref="B13:B14"/>
    <mergeCell ref="D13:D14"/>
    <mergeCell ref="A19:A21"/>
    <mergeCell ref="B19:B21"/>
    <mergeCell ref="C19:C21"/>
    <mergeCell ref="D19:D21"/>
    <mergeCell ref="N9:N12"/>
    <mergeCell ref="O9:O12"/>
    <mergeCell ref="N13:N14"/>
    <mergeCell ref="O13:O14"/>
    <mergeCell ref="P13:P14"/>
    <mergeCell ref="E13:E14"/>
    <mergeCell ref="J13:J14"/>
    <mergeCell ref="K13:K14"/>
    <mergeCell ref="L13:L14"/>
    <mergeCell ref="E91:E93"/>
    <mergeCell ref="J91:J93"/>
    <mergeCell ref="K91:K93"/>
    <mergeCell ref="L91:L93"/>
    <mergeCell ref="M91:M93"/>
    <mergeCell ref="A91:A93"/>
    <mergeCell ref="B91:B93"/>
    <mergeCell ref="C91:C93"/>
    <mergeCell ref="D91:D93"/>
  </mergeCells>
  <conditionalFormatting sqref="I3:I5">
    <cfRule type="expression" dxfId="1399" priority="883" stopIfTrue="1">
      <formula>ISBLANK(I3)</formula>
    </cfRule>
  </conditionalFormatting>
  <conditionalFormatting sqref="I3:I5">
    <cfRule type="cellIs" dxfId="1398" priority="884" stopIfTrue="1" operator="equal">
      <formula>"No grades yet"</formula>
    </cfRule>
  </conditionalFormatting>
  <conditionalFormatting sqref="I3:I5">
    <cfRule type="cellIs" dxfId="1397" priority="885" stopIfTrue="1" operator="greaterThanOrEqual">
      <formula>70</formula>
    </cfRule>
  </conditionalFormatting>
  <conditionalFormatting sqref="I3:I5">
    <cfRule type="cellIs" dxfId="1396" priority="886" stopIfTrue="1" operator="between">
      <formula>60</formula>
      <formula>69.999</formula>
    </cfRule>
    <cfRule type="cellIs" dxfId="1395" priority="889" stopIfTrue="1" operator="lessThan">
      <formula>40</formula>
    </cfRule>
  </conditionalFormatting>
  <conditionalFormatting sqref="I3:I5">
    <cfRule type="cellIs" dxfId="1394" priority="887" stopIfTrue="1" operator="between">
      <formula>50</formula>
      <formula>59.999</formula>
    </cfRule>
  </conditionalFormatting>
  <conditionalFormatting sqref="I3:I5">
    <cfRule type="cellIs" dxfId="1393" priority="888" stopIfTrue="1" operator="between">
      <formula>40</formula>
      <formula>49.999</formula>
    </cfRule>
  </conditionalFormatting>
  <conditionalFormatting sqref="L3:L5">
    <cfRule type="expression" dxfId="1392" priority="890" stopIfTrue="1">
      <formula>ISBLANK(L3)</formula>
    </cfRule>
    <cfRule type="cellIs" dxfId="1391" priority="891" stopIfTrue="1" operator="equal">
      <formula>"No grades yet"</formula>
    </cfRule>
    <cfRule type="cellIs" dxfId="1390" priority="892" stopIfTrue="1" operator="greaterThanOrEqual">
      <formula>70</formula>
    </cfRule>
    <cfRule type="cellIs" dxfId="1389" priority="893" stopIfTrue="1" operator="between">
      <formula>60</formula>
      <formula>69.999</formula>
    </cfRule>
    <cfRule type="cellIs" dxfId="1388" priority="894" stopIfTrue="1" operator="between">
      <formula>50</formula>
      <formula>59.999</formula>
    </cfRule>
    <cfRule type="cellIs" dxfId="1387" priority="895" stopIfTrue="1" operator="between">
      <formula>40</formula>
      <formula>49.999</formula>
    </cfRule>
    <cfRule type="cellIs" dxfId="1386" priority="896" stopIfTrue="1" operator="lessThan">
      <formula>40</formula>
    </cfRule>
  </conditionalFormatting>
  <conditionalFormatting sqref="I9:I12">
    <cfRule type="expression" dxfId="1385" priority="897" stopIfTrue="1">
      <formula>ISBLANK(I9)</formula>
    </cfRule>
    <cfRule type="cellIs" dxfId="1384" priority="898" stopIfTrue="1" operator="equal">
      <formula>"No grades yet"</formula>
    </cfRule>
    <cfRule type="cellIs" dxfId="1383" priority="899" stopIfTrue="1" operator="greaterThanOrEqual">
      <formula>70</formula>
    </cfRule>
    <cfRule type="cellIs" dxfId="1382" priority="900" stopIfTrue="1" operator="between">
      <formula>60</formula>
      <formula>69.999</formula>
    </cfRule>
    <cfRule type="cellIs" dxfId="1381" priority="901" stopIfTrue="1" operator="between">
      <formula>50</formula>
      <formula>59.999</formula>
    </cfRule>
    <cfRule type="cellIs" dxfId="1380" priority="902" stopIfTrue="1" operator="between">
      <formula>40</formula>
      <formula>49.999</formula>
    </cfRule>
    <cfRule type="cellIs" dxfId="1379" priority="903" stopIfTrue="1" operator="lessThan">
      <formula>40</formula>
    </cfRule>
  </conditionalFormatting>
  <conditionalFormatting sqref="L9:L12">
    <cfRule type="expression" dxfId="1378" priority="904" stopIfTrue="1">
      <formula>ISBLANK(L9)</formula>
    </cfRule>
    <cfRule type="cellIs" dxfId="1377" priority="905" stopIfTrue="1" operator="equal">
      <formula>"No grades yet"</formula>
    </cfRule>
    <cfRule type="cellIs" dxfId="1376" priority="906" stopIfTrue="1" operator="greaterThanOrEqual">
      <formula>70</formula>
    </cfRule>
    <cfRule type="cellIs" dxfId="1375" priority="907" stopIfTrue="1" operator="between">
      <formula>60</formula>
      <formula>69.999</formula>
    </cfRule>
    <cfRule type="cellIs" dxfId="1374" priority="908" stopIfTrue="1" operator="between">
      <formula>50</formula>
      <formula>59.999</formula>
    </cfRule>
    <cfRule type="cellIs" dxfId="1373" priority="909" stopIfTrue="1" operator="between">
      <formula>40</formula>
      <formula>49.999</formula>
    </cfRule>
    <cfRule type="cellIs" dxfId="1372" priority="910" stopIfTrue="1" operator="lessThan">
      <formula>40</formula>
    </cfRule>
  </conditionalFormatting>
  <conditionalFormatting sqref="I13:I14">
    <cfRule type="expression" dxfId="1371" priority="911" stopIfTrue="1">
      <formula>ISBLANK(I13)</formula>
    </cfRule>
    <cfRule type="cellIs" dxfId="1370" priority="912" stopIfTrue="1" operator="equal">
      <formula>"No grades yet"</formula>
    </cfRule>
    <cfRule type="cellIs" dxfId="1369" priority="913" stopIfTrue="1" operator="greaterThanOrEqual">
      <formula>70</formula>
    </cfRule>
    <cfRule type="cellIs" dxfId="1368" priority="914" stopIfTrue="1" operator="between">
      <formula>60</formula>
      <formula>69.999</formula>
    </cfRule>
    <cfRule type="cellIs" dxfId="1367" priority="915" stopIfTrue="1" operator="between">
      <formula>50</formula>
      <formula>59.999</formula>
    </cfRule>
    <cfRule type="cellIs" dxfId="1366" priority="916" stopIfTrue="1" operator="between">
      <formula>40</formula>
      <formula>49.999</formula>
    </cfRule>
    <cfRule type="cellIs" dxfId="1365" priority="917" stopIfTrue="1" operator="lessThan">
      <formula>40</formula>
    </cfRule>
  </conditionalFormatting>
  <conditionalFormatting sqref="L13:L14">
    <cfRule type="expression" dxfId="1364" priority="918" stopIfTrue="1">
      <formula>ISBLANK(L13)</formula>
    </cfRule>
    <cfRule type="cellIs" dxfId="1363" priority="919" stopIfTrue="1" operator="equal">
      <formula>"No grades yet"</formula>
    </cfRule>
    <cfRule type="cellIs" dxfId="1362" priority="920" stopIfTrue="1" operator="greaterThanOrEqual">
      <formula>70</formula>
    </cfRule>
    <cfRule type="cellIs" dxfId="1361" priority="921" stopIfTrue="1" operator="between">
      <formula>60</formula>
      <formula>69.999</formula>
    </cfRule>
    <cfRule type="cellIs" dxfId="1360" priority="922" stopIfTrue="1" operator="between">
      <formula>50</formula>
      <formula>59.999</formula>
    </cfRule>
    <cfRule type="cellIs" dxfId="1359" priority="923" stopIfTrue="1" operator="between">
      <formula>40</formula>
      <formula>49.999</formula>
    </cfRule>
    <cfRule type="cellIs" dxfId="1358" priority="924" stopIfTrue="1" operator="lessThan">
      <formula>40</formula>
    </cfRule>
  </conditionalFormatting>
  <conditionalFormatting sqref="I15:I17">
    <cfRule type="expression" dxfId="1357" priority="925" stopIfTrue="1">
      <formula>ISBLANK(I15)</formula>
    </cfRule>
    <cfRule type="cellIs" dxfId="1356" priority="926" stopIfTrue="1" operator="equal">
      <formula>"No grades yet"</formula>
    </cfRule>
    <cfRule type="cellIs" dxfId="1355" priority="927" stopIfTrue="1" operator="greaterThanOrEqual">
      <formula>70</formula>
    </cfRule>
    <cfRule type="cellIs" dxfId="1354" priority="928" stopIfTrue="1" operator="between">
      <formula>60</formula>
      <formula>69.999</formula>
    </cfRule>
    <cfRule type="cellIs" dxfId="1353" priority="929" stopIfTrue="1" operator="between">
      <formula>50</formula>
      <formula>59.999</formula>
    </cfRule>
    <cfRule type="cellIs" dxfId="1352" priority="930" stopIfTrue="1" operator="between">
      <formula>40</formula>
      <formula>49.999</formula>
    </cfRule>
    <cfRule type="cellIs" dxfId="1351" priority="931" stopIfTrue="1" operator="lessThan">
      <formula>40</formula>
    </cfRule>
  </conditionalFormatting>
  <conditionalFormatting sqref="L15:L17">
    <cfRule type="expression" dxfId="1350" priority="932" stopIfTrue="1">
      <formula>ISBLANK(L15)</formula>
    </cfRule>
    <cfRule type="cellIs" dxfId="1349" priority="935" stopIfTrue="1" operator="between">
      <formula>60</formula>
      <formula>69.999</formula>
    </cfRule>
    <cfRule type="cellIs" dxfId="1348" priority="937" stopIfTrue="1" operator="between">
      <formula>40</formula>
      <formula>49.999</formula>
    </cfRule>
  </conditionalFormatting>
  <conditionalFormatting sqref="L15:L17">
    <cfRule type="cellIs" dxfId="1347" priority="933" stopIfTrue="1" operator="equal">
      <formula>"No grades yet"</formula>
    </cfRule>
  </conditionalFormatting>
  <conditionalFormatting sqref="L15:L17">
    <cfRule type="cellIs" dxfId="1346" priority="934" stopIfTrue="1" operator="greaterThanOrEqual">
      <formula>70</formula>
    </cfRule>
    <cfRule type="cellIs" dxfId="1345" priority="936" stopIfTrue="1" operator="between">
      <formula>50</formula>
      <formula>59.999</formula>
    </cfRule>
    <cfRule type="cellIs" dxfId="1344" priority="938" stopIfTrue="1" operator="lessThan">
      <formula>40</formula>
    </cfRule>
  </conditionalFormatting>
  <conditionalFormatting sqref="I18">
    <cfRule type="expression" dxfId="1343" priority="939" stopIfTrue="1">
      <formula>ISBLANK(I18)</formula>
    </cfRule>
  </conditionalFormatting>
  <conditionalFormatting sqref="I18">
    <cfRule type="cellIs" dxfId="1342" priority="940" stopIfTrue="1" operator="equal">
      <formula>"No grades yet"</formula>
    </cfRule>
  </conditionalFormatting>
  <conditionalFormatting sqref="I18">
    <cfRule type="cellIs" dxfId="1341" priority="941" stopIfTrue="1" operator="greaterThanOrEqual">
      <formula>70</formula>
    </cfRule>
  </conditionalFormatting>
  <conditionalFormatting sqref="I18">
    <cfRule type="cellIs" dxfId="1340" priority="942" stopIfTrue="1" operator="between">
      <formula>60</formula>
      <formula>69.999</formula>
    </cfRule>
  </conditionalFormatting>
  <conditionalFormatting sqref="I18">
    <cfRule type="cellIs" dxfId="1339" priority="943" stopIfTrue="1" operator="between">
      <formula>50</formula>
      <formula>59.999</formula>
    </cfRule>
  </conditionalFormatting>
  <conditionalFormatting sqref="I18">
    <cfRule type="cellIs" dxfId="1338" priority="944" stopIfTrue="1" operator="between">
      <formula>40</formula>
      <formula>49.999</formula>
    </cfRule>
  </conditionalFormatting>
  <conditionalFormatting sqref="I18">
    <cfRule type="cellIs" dxfId="1337" priority="945" stopIfTrue="1" operator="lessThan">
      <formula>40</formula>
    </cfRule>
  </conditionalFormatting>
  <conditionalFormatting sqref="L18">
    <cfRule type="expression" dxfId="1336" priority="946" stopIfTrue="1">
      <formula>ISBLANK(L18)</formula>
    </cfRule>
    <cfRule type="cellIs" dxfId="1335" priority="947" stopIfTrue="1" operator="equal">
      <formula>"No grades yet"</formula>
    </cfRule>
    <cfRule type="cellIs" dxfId="1334" priority="948" stopIfTrue="1" operator="greaterThanOrEqual">
      <formula>70</formula>
    </cfRule>
    <cfRule type="cellIs" dxfId="1333" priority="949" stopIfTrue="1" operator="between">
      <formula>60</formula>
      <formula>69.999</formula>
    </cfRule>
    <cfRule type="cellIs" dxfId="1332" priority="950" stopIfTrue="1" operator="between">
      <formula>50</formula>
      <formula>59.999</formula>
    </cfRule>
    <cfRule type="cellIs" dxfId="1331" priority="951" stopIfTrue="1" operator="between">
      <formula>40</formula>
      <formula>49.999</formula>
    </cfRule>
    <cfRule type="cellIs" dxfId="1330" priority="952" stopIfTrue="1" operator="lessThan">
      <formula>40</formula>
    </cfRule>
  </conditionalFormatting>
  <conditionalFormatting sqref="I19:I21">
    <cfRule type="expression" dxfId="1329" priority="953" stopIfTrue="1">
      <formula>ISBLANK(I19)</formula>
    </cfRule>
  </conditionalFormatting>
  <conditionalFormatting sqref="I19:I21">
    <cfRule type="cellIs" dxfId="1328" priority="954" stopIfTrue="1" operator="equal">
      <formula>"No grades yet"</formula>
    </cfRule>
  </conditionalFormatting>
  <conditionalFormatting sqref="I19:I21">
    <cfRule type="cellIs" dxfId="1327" priority="955" stopIfTrue="1" operator="greaterThanOrEqual">
      <formula>70</formula>
    </cfRule>
  </conditionalFormatting>
  <conditionalFormatting sqref="I19:I21">
    <cfRule type="cellIs" dxfId="1326" priority="956" stopIfTrue="1" operator="between">
      <formula>60</formula>
      <formula>69.999</formula>
    </cfRule>
  </conditionalFormatting>
  <conditionalFormatting sqref="I19:I21">
    <cfRule type="cellIs" dxfId="1325" priority="957" stopIfTrue="1" operator="between">
      <formula>50</formula>
      <formula>59.999</formula>
    </cfRule>
  </conditionalFormatting>
  <conditionalFormatting sqref="I19:I21">
    <cfRule type="cellIs" dxfId="1324" priority="958" stopIfTrue="1" operator="between">
      <formula>40</formula>
      <formula>49.999</formula>
    </cfRule>
  </conditionalFormatting>
  <conditionalFormatting sqref="I19:I21">
    <cfRule type="cellIs" dxfId="1323" priority="959" stopIfTrue="1" operator="lessThan">
      <formula>40</formula>
    </cfRule>
  </conditionalFormatting>
  <conditionalFormatting sqref="L19:L21">
    <cfRule type="expression" dxfId="1322" priority="960" stopIfTrue="1">
      <formula>ISBLANK(L19)</formula>
    </cfRule>
  </conditionalFormatting>
  <conditionalFormatting sqref="L19:L21">
    <cfRule type="cellIs" dxfId="1321" priority="961" stopIfTrue="1" operator="equal">
      <formula>"No grades yet"</formula>
    </cfRule>
  </conditionalFormatting>
  <conditionalFormatting sqref="L19:L21">
    <cfRule type="cellIs" dxfId="1320" priority="962" stopIfTrue="1" operator="greaterThanOrEqual">
      <formula>70</formula>
    </cfRule>
  </conditionalFormatting>
  <conditionalFormatting sqref="L19:L21">
    <cfRule type="cellIs" dxfId="1319" priority="963" stopIfTrue="1" operator="between">
      <formula>60</formula>
      <formula>69.999</formula>
    </cfRule>
  </conditionalFormatting>
  <conditionalFormatting sqref="L19:L21">
    <cfRule type="cellIs" dxfId="1318" priority="964" stopIfTrue="1" operator="between">
      <formula>50</formula>
      <formula>59.999</formula>
    </cfRule>
  </conditionalFormatting>
  <conditionalFormatting sqref="L19:L21">
    <cfRule type="cellIs" dxfId="1317" priority="965" stopIfTrue="1" operator="between">
      <formula>40</formula>
      <formula>49.999</formula>
    </cfRule>
  </conditionalFormatting>
  <conditionalFormatting sqref="L19:L21">
    <cfRule type="cellIs" dxfId="1316" priority="966" stopIfTrue="1" operator="lessThan">
      <formula>40</formula>
    </cfRule>
  </conditionalFormatting>
  <conditionalFormatting sqref="I22:I29">
    <cfRule type="expression" dxfId="1315" priority="967" stopIfTrue="1">
      <formula>ISBLANK(I22)</formula>
    </cfRule>
  </conditionalFormatting>
  <conditionalFormatting sqref="I22:I29">
    <cfRule type="cellIs" dxfId="1314" priority="968" stopIfTrue="1" operator="equal">
      <formula>"No grades yet"</formula>
    </cfRule>
  </conditionalFormatting>
  <conditionalFormatting sqref="I22:I29">
    <cfRule type="cellIs" dxfId="1313" priority="969" stopIfTrue="1" operator="greaterThanOrEqual">
      <formula>70</formula>
    </cfRule>
  </conditionalFormatting>
  <conditionalFormatting sqref="I22:I29">
    <cfRule type="cellIs" dxfId="1312" priority="970" stopIfTrue="1" operator="between">
      <formula>60</formula>
      <formula>69.999</formula>
    </cfRule>
  </conditionalFormatting>
  <conditionalFormatting sqref="I22:I29">
    <cfRule type="cellIs" dxfId="1311" priority="971" stopIfTrue="1" operator="between">
      <formula>50</formula>
      <formula>59.999</formula>
    </cfRule>
  </conditionalFormatting>
  <conditionalFormatting sqref="I22:I29">
    <cfRule type="cellIs" dxfId="1310" priority="972" stopIfTrue="1" operator="between">
      <formula>40</formula>
      <formula>49.999</formula>
    </cfRule>
  </conditionalFormatting>
  <conditionalFormatting sqref="I22:I29">
    <cfRule type="cellIs" dxfId="1309" priority="973" stopIfTrue="1" operator="lessThan">
      <formula>40</formula>
    </cfRule>
  </conditionalFormatting>
  <conditionalFormatting sqref="L22:L29">
    <cfRule type="expression" dxfId="1308" priority="974" stopIfTrue="1">
      <formula>ISBLANK(L22)</formula>
    </cfRule>
  </conditionalFormatting>
  <conditionalFormatting sqref="L22:L29">
    <cfRule type="cellIs" dxfId="1307" priority="975" stopIfTrue="1" operator="equal">
      <formula>"No grades yet"</formula>
    </cfRule>
  </conditionalFormatting>
  <conditionalFormatting sqref="L22:L29">
    <cfRule type="cellIs" dxfId="1306" priority="976" stopIfTrue="1" operator="greaterThanOrEqual">
      <formula>70</formula>
    </cfRule>
  </conditionalFormatting>
  <conditionalFormatting sqref="L22:L29">
    <cfRule type="cellIs" dxfId="1305" priority="977" stopIfTrue="1" operator="between">
      <formula>60</formula>
      <formula>69.999</formula>
    </cfRule>
  </conditionalFormatting>
  <conditionalFormatting sqref="L22:L29">
    <cfRule type="cellIs" dxfId="1304" priority="978" stopIfTrue="1" operator="between">
      <formula>50</formula>
      <formula>59.999</formula>
    </cfRule>
  </conditionalFormatting>
  <conditionalFormatting sqref="L22:L29">
    <cfRule type="cellIs" dxfId="1303" priority="979" stopIfTrue="1" operator="between">
      <formula>40</formula>
      <formula>49.999</formula>
    </cfRule>
  </conditionalFormatting>
  <conditionalFormatting sqref="L22:L29">
    <cfRule type="cellIs" dxfId="1302" priority="980" stopIfTrue="1" operator="lessThan">
      <formula>40</formula>
    </cfRule>
  </conditionalFormatting>
  <conditionalFormatting sqref="I30:I33">
    <cfRule type="expression" dxfId="1301" priority="981" stopIfTrue="1">
      <formula>ISBLANK(I30)</formula>
    </cfRule>
  </conditionalFormatting>
  <conditionalFormatting sqref="I30:I33">
    <cfRule type="cellIs" dxfId="1300" priority="982" stopIfTrue="1" operator="equal">
      <formula>"No grades yet"</formula>
    </cfRule>
  </conditionalFormatting>
  <conditionalFormatting sqref="I30:I33">
    <cfRule type="cellIs" dxfId="1299" priority="983" stopIfTrue="1" operator="greaterThanOrEqual">
      <formula>70</formula>
    </cfRule>
  </conditionalFormatting>
  <conditionalFormatting sqref="I30:I33">
    <cfRule type="cellIs" dxfId="1298" priority="984" stopIfTrue="1" operator="between">
      <formula>60</formula>
      <formula>69.999</formula>
    </cfRule>
  </conditionalFormatting>
  <conditionalFormatting sqref="I30:I33">
    <cfRule type="cellIs" dxfId="1297" priority="985" stopIfTrue="1" operator="between">
      <formula>50</formula>
      <formula>59.999</formula>
    </cfRule>
  </conditionalFormatting>
  <conditionalFormatting sqref="I30:I33">
    <cfRule type="cellIs" dxfId="1296" priority="986" stopIfTrue="1" operator="between">
      <formula>40</formula>
      <formula>49.999</formula>
    </cfRule>
  </conditionalFormatting>
  <conditionalFormatting sqref="I30:I33">
    <cfRule type="cellIs" dxfId="1295" priority="987" stopIfTrue="1" operator="lessThan">
      <formula>40</formula>
    </cfRule>
  </conditionalFormatting>
  <conditionalFormatting sqref="L30:L33">
    <cfRule type="expression" dxfId="1294" priority="988" stopIfTrue="1">
      <formula>ISBLANK(L30)</formula>
    </cfRule>
  </conditionalFormatting>
  <conditionalFormatting sqref="L30:L33">
    <cfRule type="cellIs" dxfId="1293" priority="989" stopIfTrue="1" operator="equal">
      <formula>"No grades yet"</formula>
    </cfRule>
  </conditionalFormatting>
  <conditionalFormatting sqref="L30:L33">
    <cfRule type="cellIs" dxfId="1292" priority="990" stopIfTrue="1" operator="greaterThanOrEqual">
      <formula>70</formula>
    </cfRule>
  </conditionalFormatting>
  <conditionalFormatting sqref="L30:L33">
    <cfRule type="cellIs" dxfId="1291" priority="991" stopIfTrue="1" operator="between">
      <formula>60</formula>
      <formula>69.999</formula>
    </cfRule>
  </conditionalFormatting>
  <conditionalFormatting sqref="L30:L33">
    <cfRule type="cellIs" dxfId="1290" priority="992" stopIfTrue="1" operator="between">
      <formula>50</formula>
      <formula>59.999</formula>
    </cfRule>
  </conditionalFormatting>
  <conditionalFormatting sqref="L30:L33">
    <cfRule type="cellIs" dxfId="1289" priority="993" stopIfTrue="1" operator="between">
      <formula>40</formula>
      <formula>49.999</formula>
    </cfRule>
  </conditionalFormatting>
  <conditionalFormatting sqref="L30:L33">
    <cfRule type="cellIs" dxfId="1288" priority="994" stopIfTrue="1" operator="lessThan">
      <formula>40</formula>
    </cfRule>
  </conditionalFormatting>
  <conditionalFormatting sqref="I34">
    <cfRule type="expression" dxfId="1287" priority="995" stopIfTrue="1">
      <formula>ISBLANK(I34)</formula>
    </cfRule>
  </conditionalFormatting>
  <conditionalFormatting sqref="I34">
    <cfRule type="cellIs" dxfId="1286" priority="996" stopIfTrue="1" operator="equal">
      <formula>"No grades yet"</formula>
    </cfRule>
  </conditionalFormatting>
  <conditionalFormatting sqref="I34">
    <cfRule type="cellIs" dxfId="1285" priority="997" stopIfTrue="1" operator="greaterThanOrEqual">
      <formula>70</formula>
    </cfRule>
  </conditionalFormatting>
  <conditionalFormatting sqref="I34">
    <cfRule type="cellIs" dxfId="1284" priority="998" stopIfTrue="1" operator="between">
      <formula>60</formula>
      <formula>69.999</formula>
    </cfRule>
  </conditionalFormatting>
  <conditionalFormatting sqref="I34">
    <cfRule type="cellIs" dxfId="1283" priority="999" stopIfTrue="1" operator="between">
      <formula>50</formula>
      <formula>59.999</formula>
    </cfRule>
  </conditionalFormatting>
  <conditionalFormatting sqref="I34">
    <cfRule type="cellIs" dxfId="1282" priority="1000" stopIfTrue="1" operator="between">
      <formula>40</formula>
      <formula>49.999</formula>
    </cfRule>
  </conditionalFormatting>
  <conditionalFormatting sqref="I34">
    <cfRule type="cellIs" dxfId="1281" priority="1001" stopIfTrue="1" operator="lessThan">
      <formula>40</formula>
    </cfRule>
  </conditionalFormatting>
  <conditionalFormatting sqref="L34">
    <cfRule type="expression" dxfId="1280" priority="1002" stopIfTrue="1">
      <formula>ISBLANK(L34)</formula>
    </cfRule>
  </conditionalFormatting>
  <conditionalFormatting sqref="L34">
    <cfRule type="cellIs" dxfId="1279" priority="1003" stopIfTrue="1" operator="equal">
      <formula>"No grades yet"</formula>
    </cfRule>
  </conditionalFormatting>
  <conditionalFormatting sqref="L34">
    <cfRule type="cellIs" dxfId="1278" priority="1004" stopIfTrue="1" operator="greaterThanOrEqual">
      <formula>70</formula>
    </cfRule>
  </conditionalFormatting>
  <conditionalFormatting sqref="L34">
    <cfRule type="cellIs" dxfId="1277" priority="1005" stopIfTrue="1" operator="between">
      <formula>60</formula>
      <formula>69.999</formula>
    </cfRule>
  </conditionalFormatting>
  <conditionalFormatting sqref="L34">
    <cfRule type="cellIs" dxfId="1276" priority="1006" stopIfTrue="1" operator="between">
      <formula>50</formula>
      <formula>59.999</formula>
    </cfRule>
  </conditionalFormatting>
  <conditionalFormatting sqref="L34">
    <cfRule type="cellIs" dxfId="1275" priority="1007" stopIfTrue="1" operator="between">
      <formula>40</formula>
      <formula>49.999</formula>
    </cfRule>
  </conditionalFormatting>
  <conditionalFormatting sqref="L34">
    <cfRule type="cellIs" dxfId="1274" priority="1008" stopIfTrue="1" operator="lessThan">
      <formula>40</formula>
    </cfRule>
  </conditionalFormatting>
  <conditionalFormatting sqref="I35">
    <cfRule type="expression" dxfId="1273" priority="1009" stopIfTrue="1">
      <formula>ISBLANK(I35)</formula>
    </cfRule>
  </conditionalFormatting>
  <conditionalFormatting sqref="I35">
    <cfRule type="cellIs" dxfId="1272" priority="1010" stopIfTrue="1" operator="equal">
      <formula>"No grades yet"</formula>
    </cfRule>
  </conditionalFormatting>
  <conditionalFormatting sqref="I35">
    <cfRule type="cellIs" dxfId="1271" priority="1011" stopIfTrue="1" operator="greaterThanOrEqual">
      <formula>70</formula>
    </cfRule>
  </conditionalFormatting>
  <conditionalFormatting sqref="I35">
    <cfRule type="cellIs" dxfId="1270" priority="1012" stopIfTrue="1" operator="between">
      <formula>60</formula>
      <formula>69.999</formula>
    </cfRule>
  </conditionalFormatting>
  <conditionalFormatting sqref="I35">
    <cfRule type="cellIs" dxfId="1269" priority="1013" stopIfTrue="1" operator="between">
      <formula>50</formula>
      <formula>59.999</formula>
    </cfRule>
  </conditionalFormatting>
  <conditionalFormatting sqref="I35">
    <cfRule type="cellIs" dxfId="1268" priority="1014" stopIfTrue="1" operator="between">
      <formula>40</formula>
      <formula>49.999</formula>
    </cfRule>
  </conditionalFormatting>
  <conditionalFormatting sqref="I35">
    <cfRule type="cellIs" dxfId="1267" priority="1015" stopIfTrue="1" operator="lessThan">
      <formula>40</formula>
    </cfRule>
  </conditionalFormatting>
  <conditionalFormatting sqref="L35">
    <cfRule type="expression" dxfId="1266" priority="1016" stopIfTrue="1">
      <formula>ISBLANK(L35)</formula>
    </cfRule>
  </conditionalFormatting>
  <conditionalFormatting sqref="L35">
    <cfRule type="cellIs" dxfId="1265" priority="1017" stopIfTrue="1" operator="equal">
      <formula>"No grades yet"</formula>
    </cfRule>
  </conditionalFormatting>
  <conditionalFormatting sqref="L35">
    <cfRule type="cellIs" dxfId="1264" priority="1018" stopIfTrue="1" operator="greaterThanOrEqual">
      <formula>70</formula>
    </cfRule>
  </conditionalFormatting>
  <conditionalFormatting sqref="L35">
    <cfRule type="cellIs" dxfId="1263" priority="1019" stopIfTrue="1" operator="between">
      <formula>60</formula>
      <formula>69.999</formula>
    </cfRule>
  </conditionalFormatting>
  <conditionalFormatting sqref="L35">
    <cfRule type="cellIs" dxfId="1262" priority="1020" stopIfTrue="1" operator="between">
      <formula>50</formula>
      <formula>59.999</formula>
    </cfRule>
  </conditionalFormatting>
  <conditionalFormatting sqref="L35">
    <cfRule type="cellIs" dxfId="1261" priority="1021" stopIfTrue="1" operator="between">
      <formula>40</formula>
      <formula>49.999</formula>
    </cfRule>
  </conditionalFormatting>
  <conditionalFormatting sqref="L35">
    <cfRule type="cellIs" dxfId="1260" priority="1022" stopIfTrue="1" operator="lessThan">
      <formula>40</formula>
    </cfRule>
  </conditionalFormatting>
  <conditionalFormatting sqref="I36:I37">
    <cfRule type="expression" dxfId="1259" priority="1023" stopIfTrue="1">
      <formula>ISBLANK(I36)</formula>
    </cfRule>
  </conditionalFormatting>
  <conditionalFormatting sqref="I36:I37">
    <cfRule type="cellIs" dxfId="1258" priority="1024" stopIfTrue="1" operator="equal">
      <formula>"No grades yet"</formula>
    </cfRule>
  </conditionalFormatting>
  <conditionalFormatting sqref="I36:I37">
    <cfRule type="cellIs" dxfId="1257" priority="1025" stopIfTrue="1" operator="greaterThanOrEqual">
      <formula>70</formula>
    </cfRule>
  </conditionalFormatting>
  <conditionalFormatting sqref="I36:I37">
    <cfRule type="cellIs" dxfId="1256" priority="1026" stopIfTrue="1" operator="between">
      <formula>60</formula>
      <formula>69.999</formula>
    </cfRule>
  </conditionalFormatting>
  <conditionalFormatting sqref="I36:I37">
    <cfRule type="cellIs" dxfId="1255" priority="1027" stopIfTrue="1" operator="between">
      <formula>50</formula>
      <formula>59.999</formula>
    </cfRule>
  </conditionalFormatting>
  <conditionalFormatting sqref="I36:I37">
    <cfRule type="cellIs" dxfId="1254" priority="1028" stopIfTrue="1" operator="between">
      <formula>40</formula>
      <formula>49.999</formula>
    </cfRule>
  </conditionalFormatting>
  <conditionalFormatting sqref="I36:I37">
    <cfRule type="cellIs" dxfId="1253" priority="1029" stopIfTrue="1" operator="lessThan">
      <formula>40</formula>
    </cfRule>
  </conditionalFormatting>
  <conditionalFormatting sqref="L36:L37">
    <cfRule type="expression" dxfId="1252" priority="1030" stopIfTrue="1">
      <formula>ISBLANK(L36)</formula>
    </cfRule>
  </conditionalFormatting>
  <conditionalFormatting sqref="L36:L37">
    <cfRule type="cellIs" dxfId="1251" priority="1031" stopIfTrue="1" operator="equal">
      <formula>"No grades yet"</formula>
    </cfRule>
  </conditionalFormatting>
  <conditionalFormatting sqref="L36:L37">
    <cfRule type="cellIs" dxfId="1250" priority="1032" stopIfTrue="1" operator="greaterThanOrEqual">
      <formula>70</formula>
    </cfRule>
  </conditionalFormatting>
  <conditionalFormatting sqref="L36:L37">
    <cfRule type="cellIs" dxfId="1249" priority="1033" stopIfTrue="1" operator="between">
      <formula>60</formula>
      <formula>69.999</formula>
    </cfRule>
  </conditionalFormatting>
  <conditionalFormatting sqref="L36:L37">
    <cfRule type="cellIs" dxfId="1248" priority="1034" stopIfTrue="1" operator="between">
      <formula>50</formula>
      <formula>59.999</formula>
    </cfRule>
  </conditionalFormatting>
  <conditionalFormatting sqref="L36:L37">
    <cfRule type="cellIs" dxfId="1247" priority="1035" stopIfTrue="1" operator="between">
      <formula>40</formula>
      <formula>49.999</formula>
    </cfRule>
  </conditionalFormatting>
  <conditionalFormatting sqref="L36:L37">
    <cfRule type="cellIs" dxfId="1246" priority="1036" stopIfTrue="1" operator="lessThan">
      <formula>40</formula>
    </cfRule>
  </conditionalFormatting>
  <conditionalFormatting sqref="I38:I39">
    <cfRule type="expression" dxfId="1245" priority="1037" stopIfTrue="1">
      <formula>ISBLANK(I38)</formula>
    </cfRule>
  </conditionalFormatting>
  <conditionalFormatting sqref="I38:I39">
    <cfRule type="cellIs" dxfId="1244" priority="1038" stopIfTrue="1" operator="equal">
      <formula>"No grades yet"</formula>
    </cfRule>
  </conditionalFormatting>
  <conditionalFormatting sqref="I38:I39">
    <cfRule type="cellIs" dxfId="1243" priority="1039" stopIfTrue="1" operator="greaterThanOrEqual">
      <formula>70</formula>
    </cfRule>
  </conditionalFormatting>
  <conditionalFormatting sqref="I38:I39">
    <cfRule type="cellIs" dxfId="1242" priority="1040" stopIfTrue="1" operator="between">
      <formula>60</formula>
      <formula>69.999</formula>
    </cfRule>
  </conditionalFormatting>
  <conditionalFormatting sqref="I38:I39">
    <cfRule type="cellIs" dxfId="1241" priority="1041" stopIfTrue="1" operator="between">
      <formula>50</formula>
      <formula>59.999</formula>
    </cfRule>
  </conditionalFormatting>
  <conditionalFormatting sqref="I38:I39">
    <cfRule type="cellIs" dxfId="1240" priority="1042" stopIfTrue="1" operator="between">
      <formula>40</formula>
      <formula>49.999</formula>
    </cfRule>
  </conditionalFormatting>
  <conditionalFormatting sqref="I38:I39">
    <cfRule type="cellIs" dxfId="1239" priority="1043" stopIfTrue="1" operator="lessThan">
      <formula>40</formula>
    </cfRule>
  </conditionalFormatting>
  <conditionalFormatting sqref="L38:L39">
    <cfRule type="expression" dxfId="1238" priority="1044" stopIfTrue="1">
      <formula>ISBLANK(L38)</formula>
    </cfRule>
  </conditionalFormatting>
  <conditionalFormatting sqref="L38:L39">
    <cfRule type="cellIs" dxfId="1237" priority="1045" stopIfTrue="1" operator="equal">
      <formula>"No grades yet"</formula>
    </cfRule>
  </conditionalFormatting>
  <conditionalFormatting sqref="L38:L39">
    <cfRule type="cellIs" dxfId="1236" priority="1046" stopIfTrue="1" operator="greaterThanOrEqual">
      <formula>70</formula>
    </cfRule>
  </conditionalFormatting>
  <conditionalFormatting sqref="L38:L39">
    <cfRule type="cellIs" dxfId="1235" priority="1047" stopIfTrue="1" operator="between">
      <formula>60</formula>
      <formula>69.999</formula>
    </cfRule>
  </conditionalFormatting>
  <conditionalFormatting sqref="L38:L39">
    <cfRule type="cellIs" dxfId="1234" priority="1048" stopIfTrue="1" operator="between">
      <formula>50</formula>
      <formula>59.999</formula>
    </cfRule>
  </conditionalFormatting>
  <conditionalFormatting sqref="L38:L39">
    <cfRule type="cellIs" dxfId="1233" priority="1049" stopIfTrue="1" operator="between">
      <formula>40</formula>
      <formula>49.999</formula>
    </cfRule>
  </conditionalFormatting>
  <conditionalFormatting sqref="L38:L39">
    <cfRule type="cellIs" dxfId="1232" priority="1050" stopIfTrue="1" operator="lessThan">
      <formula>40</formula>
    </cfRule>
  </conditionalFormatting>
  <conditionalFormatting sqref="I40">
    <cfRule type="expression" dxfId="1231" priority="1051" stopIfTrue="1">
      <formula>ISBLANK(I40)</formula>
    </cfRule>
  </conditionalFormatting>
  <conditionalFormatting sqref="I40">
    <cfRule type="cellIs" dxfId="1230" priority="1052" stopIfTrue="1" operator="equal">
      <formula>"No grades yet"</formula>
    </cfRule>
  </conditionalFormatting>
  <conditionalFormatting sqref="I40">
    <cfRule type="cellIs" dxfId="1229" priority="1053" stopIfTrue="1" operator="greaterThanOrEqual">
      <formula>70</formula>
    </cfRule>
  </conditionalFormatting>
  <conditionalFormatting sqref="I40">
    <cfRule type="cellIs" dxfId="1228" priority="1054" stopIfTrue="1" operator="between">
      <formula>60</formula>
      <formula>69.999</formula>
    </cfRule>
  </conditionalFormatting>
  <conditionalFormatting sqref="I40">
    <cfRule type="cellIs" dxfId="1227" priority="1055" stopIfTrue="1" operator="between">
      <formula>50</formula>
      <formula>59.999</formula>
    </cfRule>
  </conditionalFormatting>
  <conditionalFormatting sqref="I40">
    <cfRule type="cellIs" dxfId="1226" priority="1056" stopIfTrue="1" operator="between">
      <formula>40</formula>
      <formula>49.999</formula>
    </cfRule>
  </conditionalFormatting>
  <conditionalFormatting sqref="I40">
    <cfRule type="cellIs" dxfId="1225" priority="1057" stopIfTrue="1" operator="lessThan">
      <formula>40</formula>
    </cfRule>
  </conditionalFormatting>
  <conditionalFormatting sqref="L40">
    <cfRule type="expression" dxfId="1224" priority="1058" stopIfTrue="1">
      <formula>ISBLANK(L40)</formula>
    </cfRule>
  </conditionalFormatting>
  <conditionalFormatting sqref="L40">
    <cfRule type="cellIs" dxfId="1223" priority="1059" stopIfTrue="1" operator="equal">
      <formula>"No grades yet"</formula>
    </cfRule>
  </conditionalFormatting>
  <conditionalFormatting sqref="L40">
    <cfRule type="cellIs" dxfId="1222" priority="1060" stopIfTrue="1" operator="greaterThanOrEqual">
      <formula>70</formula>
    </cfRule>
  </conditionalFormatting>
  <conditionalFormatting sqref="L40">
    <cfRule type="cellIs" dxfId="1221" priority="1061" stopIfTrue="1" operator="between">
      <formula>60</formula>
      <formula>69.999</formula>
    </cfRule>
  </conditionalFormatting>
  <conditionalFormatting sqref="L40">
    <cfRule type="cellIs" dxfId="1220" priority="1062" stopIfTrue="1" operator="between">
      <formula>50</formula>
      <formula>59.999</formula>
    </cfRule>
  </conditionalFormatting>
  <conditionalFormatting sqref="L40">
    <cfRule type="cellIs" dxfId="1219" priority="1063" stopIfTrue="1" operator="between">
      <formula>40</formula>
      <formula>49.999</formula>
    </cfRule>
  </conditionalFormatting>
  <conditionalFormatting sqref="L40">
    <cfRule type="cellIs" dxfId="1218" priority="1064" stopIfTrue="1" operator="lessThan">
      <formula>40</formula>
    </cfRule>
  </conditionalFormatting>
  <conditionalFormatting sqref="I41:I46">
    <cfRule type="expression" dxfId="1217" priority="1065" stopIfTrue="1">
      <formula>ISBLANK(I41)</formula>
    </cfRule>
  </conditionalFormatting>
  <conditionalFormatting sqref="I41:I46">
    <cfRule type="cellIs" dxfId="1216" priority="1066" stopIfTrue="1" operator="equal">
      <formula>"No grades yet"</formula>
    </cfRule>
  </conditionalFormatting>
  <conditionalFormatting sqref="I41:I46">
    <cfRule type="cellIs" dxfId="1215" priority="1067" stopIfTrue="1" operator="greaterThanOrEqual">
      <formula>70</formula>
    </cfRule>
  </conditionalFormatting>
  <conditionalFormatting sqref="I41:I46">
    <cfRule type="cellIs" dxfId="1214" priority="1068" stopIfTrue="1" operator="between">
      <formula>60</formula>
      <formula>69.999</formula>
    </cfRule>
  </conditionalFormatting>
  <conditionalFormatting sqref="I41:I46">
    <cfRule type="cellIs" dxfId="1213" priority="1069" stopIfTrue="1" operator="between">
      <formula>50</formula>
      <formula>59.999</formula>
    </cfRule>
  </conditionalFormatting>
  <conditionalFormatting sqref="I41:I46">
    <cfRule type="cellIs" dxfId="1212" priority="1070" stopIfTrue="1" operator="between">
      <formula>40</formula>
      <formula>49.999</formula>
    </cfRule>
  </conditionalFormatting>
  <conditionalFormatting sqref="I41:I46">
    <cfRule type="cellIs" dxfId="1211" priority="1071" stopIfTrue="1" operator="lessThan">
      <formula>40</formula>
    </cfRule>
  </conditionalFormatting>
  <conditionalFormatting sqref="L41:L46">
    <cfRule type="expression" dxfId="1210" priority="1072" stopIfTrue="1">
      <formula>ISBLANK(L41)</formula>
    </cfRule>
  </conditionalFormatting>
  <conditionalFormatting sqref="L41:L46">
    <cfRule type="cellIs" dxfId="1209" priority="1073" stopIfTrue="1" operator="equal">
      <formula>"No grades yet"</formula>
    </cfRule>
  </conditionalFormatting>
  <conditionalFormatting sqref="L41:L46">
    <cfRule type="cellIs" dxfId="1208" priority="1074" stopIfTrue="1" operator="greaterThanOrEqual">
      <formula>70</formula>
    </cfRule>
  </conditionalFormatting>
  <conditionalFormatting sqref="L41:L46">
    <cfRule type="cellIs" dxfId="1207" priority="1075" stopIfTrue="1" operator="between">
      <formula>60</formula>
      <formula>69.999</formula>
    </cfRule>
  </conditionalFormatting>
  <conditionalFormatting sqref="L41:L46">
    <cfRule type="cellIs" dxfId="1206" priority="1076" stopIfTrue="1" operator="between">
      <formula>50</formula>
      <formula>59.999</formula>
    </cfRule>
  </conditionalFormatting>
  <conditionalFormatting sqref="L41:L46">
    <cfRule type="cellIs" dxfId="1205" priority="1077" stopIfTrue="1" operator="between">
      <formula>40</formula>
      <formula>49.999</formula>
    </cfRule>
  </conditionalFormatting>
  <conditionalFormatting sqref="L41:L46">
    <cfRule type="cellIs" dxfId="1204" priority="1078" stopIfTrue="1" operator="lessThan">
      <formula>40</formula>
    </cfRule>
  </conditionalFormatting>
  <conditionalFormatting sqref="I47:I49">
    <cfRule type="expression" dxfId="1203" priority="1079" stopIfTrue="1">
      <formula>ISBLANK(I47)</formula>
    </cfRule>
  </conditionalFormatting>
  <conditionalFormatting sqref="I47:I49">
    <cfRule type="cellIs" dxfId="1202" priority="1080" stopIfTrue="1" operator="equal">
      <formula>"No grades yet"</formula>
    </cfRule>
  </conditionalFormatting>
  <conditionalFormatting sqref="I47:I49">
    <cfRule type="cellIs" dxfId="1201" priority="1081" stopIfTrue="1" operator="greaterThanOrEqual">
      <formula>70</formula>
    </cfRule>
  </conditionalFormatting>
  <conditionalFormatting sqref="I47:I49">
    <cfRule type="cellIs" dxfId="1200" priority="1082" stopIfTrue="1" operator="between">
      <formula>60</formula>
      <formula>69.999</formula>
    </cfRule>
  </conditionalFormatting>
  <conditionalFormatting sqref="I47:I49">
    <cfRule type="cellIs" dxfId="1199" priority="1083" stopIfTrue="1" operator="between">
      <formula>50</formula>
      <formula>59.999</formula>
    </cfRule>
  </conditionalFormatting>
  <conditionalFormatting sqref="I47:I49">
    <cfRule type="cellIs" dxfId="1198" priority="1084" stopIfTrue="1" operator="between">
      <formula>40</formula>
      <formula>49.999</formula>
    </cfRule>
  </conditionalFormatting>
  <conditionalFormatting sqref="I47:I49">
    <cfRule type="cellIs" dxfId="1197" priority="1085" stopIfTrue="1" operator="lessThan">
      <formula>40</formula>
    </cfRule>
  </conditionalFormatting>
  <conditionalFormatting sqref="L47:L49">
    <cfRule type="expression" dxfId="1196" priority="1086" stopIfTrue="1">
      <formula>ISBLANK(L47)</formula>
    </cfRule>
  </conditionalFormatting>
  <conditionalFormatting sqref="L47:L49">
    <cfRule type="cellIs" dxfId="1195" priority="1087" stopIfTrue="1" operator="equal">
      <formula>"No grades yet"</formula>
    </cfRule>
  </conditionalFormatting>
  <conditionalFormatting sqref="L47:L49">
    <cfRule type="cellIs" dxfId="1194" priority="1088" stopIfTrue="1" operator="greaterThanOrEqual">
      <formula>70</formula>
    </cfRule>
  </conditionalFormatting>
  <conditionalFormatting sqref="L47:L49">
    <cfRule type="cellIs" dxfId="1193" priority="1089" stopIfTrue="1" operator="between">
      <formula>60</formula>
      <formula>69.999</formula>
    </cfRule>
  </conditionalFormatting>
  <conditionalFormatting sqref="L47:L49">
    <cfRule type="cellIs" dxfId="1192" priority="1090" stopIfTrue="1" operator="between">
      <formula>50</formula>
      <formula>59.999</formula>
    </cfRule>
  </conditionalFormatting>
  <conditionalFormatting sqref="L47:L49">
    <cfRule type="cellIs" dxfId="1191" priority="1091" stopIfTrue="1" operator="between">
      <formula>40</formula>
      <formula>49.999</formula>
    </cfRule>
  </conditionalFormatting>
  <conditionalFormatting sqref="L47:L49">
    <cfRule type="cellIs" dxfId="1190" priority="1092" stopIfTrue="1" operator="lessThan">
      <formula>40</formula>
    </cfRule>
  </conditionalFormatting>
  <conditionalFormatting sqref="I50:I53">
    <cfRule type="expression" dxfId="1189" priority="1093" stopIfTrue="1">
      <formula>ISBLANK(I50)</formula>
    </cfRule>
  </conditionalFormatting>
  <conditionalFormatting sqref="I50:I53">
    <cfRule type="cellIs" dxfId="1188" priority="1094" stopIfTrue="1" operator="equal">
      <formula>"No grades yet"</formula>
    </cfRule>
  </conditionalFormatting>
  <conditionalFormatting sqref="I50:I53">
    <cfRule type="cellIs" dxfId="1187" priority="1095" stopIfTrue="1" operator="greaterThanOrEqual">
      <formula>70</formula>
    </cfRule>
  </conditionalFormatting>
  <conditionalFormatting sqref="I50:I53">
    <cfRule type="cellIs" dxfId="1186" priority="1096" stopIfTrue="1" operator="between">
      <formula>60</formula>
      <formula>69.999</formula>
    </cfRule>
  </conditionalFormatting>
  <conditionalFormatting sqref="I50:I53">
    <cfRule type="cellIs" dxfId="1185" priority="1097" stopIfTrue="1" operator="between">
      <formula>50</formula>
      <formula>59.999</formula>
    </cfRule>
  </conditionalFormatting>
  <conditionalFormatting sqref="I50:I53">
    <cfRule type="cellIs" dxfId="1184" priority="1098" stopIfTrue="1" operator="between">
      <formula>40</formula>
      <formula>49.999</formula>
    </cfRule>
  </conditionalFormatting>
  <conditionalFormatting sqref="I50:I53">
    <cfRule type="cellIs" dxfId="1183" priority="1099" stopIfTrue="1" operator="lessThan">
      <formula>40</formula>
    </cfRule>
  </conditionalFormatting>
  <conditionalFormatting sqref="L50:L53">
    <cfRule type="expression" dxfId="1182" priority="1100" stopIfTrue="1">
      <formula>ISBLANK(L50)</formula>
    </cfRule>
  </conditionalFormatting>
  <conditionalFormatting sqref="L50:L53">
    <cfRule type="cellIs" dxfId="1181" priority="1101" stopIfTrue="1" operator="equal">
      <formula>"No grades yet"</formula>
    </cfRule>
  </conditionalFormatting>
  <conditionalFormatting sqref="L50:L53">
    <cfRule type="cellIs" dxfId="1180" priority="1102" stopIfTrue="1" operator="greaterThanOrEqual">
      <formula>70</formula>
    </cfRule>
  </conditionalFormatting>
  <conditionalFormatting sqref="L50:L53">
    <cfRule type="cellIs" dxfId="1179" priority="1103" stopIfTrue="1" operator="between">
      <formula>60</formula>
      <formula>69.999</formula>
    </cfRule>
  </conditionalFormatting>
  <conditionalFormatting sqref="L50:L53">
    <cfRule type="cellIs" dxfId="1178" priority="1104" stopIfTrue="1" operator="between">
      <formula>50</formula>
      <formula>59.999</formula>
    </cfRule>
  </conditionalFormatting>
  <conditionalFormatting sqref="L50:L53">
    <cfRule type="cellIs" dxfId="1177" priority="1105" stopIfTrue="1" operator="between">
      <formula>40</formula>
      <formula>49.999</formula>
    </cfRule>
  </conditionalFormatting>
  <conditionalFormatting sqref="L50:L53">
    <cfRule type="cellIs" dxfId="1176" priority="1106" stopIfTrue="1" operator="lessThan">
      <formula>40</formula>
    </cfRule>
  </conditionalFormatting>
  <conditionalFormatting sqref="I54:I55">
    <cfRule type="expression" dxfId="1175" priority="1107" stopIfTrue="1">
      <formula>ISBLANK(I54)</formula>
    </cfRule>
  </conditionalFormatting>
  <conditionalFormatting sqref="I54:I55">
    <cfRule type="cellIs" dxfId="1174" priority="1108" stopIfTrue="1" operator="equal">
      <formula>"No grades yet"</formula>
    </cfRule>
  </conditionalFormatting>
  <conditionalFormatting sqref="I54:I55">
    <cfRule type="cellIs" dxfId="1173" priority="1109" stopIfTrue="1" operator="greaterThanOrEqual">
      <formula>70</formula>
    </cfRule>
  </conditionalFormatting>
  <conditionalFormatting sqref="I54:I55">
    <cfRule type="cellIs" dxfId="1172" priority="1110" stopIfTrue="1" operator="between">
      <formula>60</formula>
      <formula>69.999</formula>
    </cfRule>
  </conditionalFormatting>
  <conditionalFormatting sqref="I54:I55">
    <cfRule type="cellIs" dxfId="1171" priority="1111" stopIfTrue="1" operator="between">
      <formula>50</formula>
      <formula>59.999</formula>
    </cfRule>
  </conditionalFormatting>
  <conditionalFormatting sqref="I54:I55">
    <cfRule type="cellIs" dxfId="1170" priority="1112" stopIfTrue="1" operator="between">
      <formula>40</formula>
      <formula>49.999</formula>
    </cfRule>
  </conditionalFormatting>
  <conditionalFormatting sqref="I54:I55">
    <cfRule type="cellIs" dxfId="1169" priority="1113" stopIfTrue="1" operator="lessThan">
      <formula>40</formula>
    </cfRule>
  </conditionalFormatting>
  <conditionalFormatting sqref="L54:L55">
    <cfRule type="expression" dxfId="1168" priority="1114" stopIfTrue="1">
      <formula>ISBLANK(L54)</formula>
    </cfRule>
  </conditionalFormatting>
  <conditionalFormatting sqref="L54:L55">
    <cfRule type="cellIs" dxfId="1167" priority="1115" stopIfTrue="1" operator="equal">
      <formula>"No grades yet"</formula>
    </cfRule>
  </conditionalFormatting>
  <conditionalFormatting sqref="L54:L55">
    <cfRule type="cellIs" dxfId="1166" priority="1116" stopIfTrue="1" operator="greaterThanOrEqual">
      <formula>70</formula>
    </cfRule>
  </conditionalFormatting>
  <conditionalFormatting sqref="L54:L55">
    <cfRule type="cellIs" dxfId="1165" priority="1117" stopIfTrue="1" operator="between">
      <formula>60</formula>
      <formula>69.999</formula>
    </cfRule>
  </conditionalFormatting>
  <conditionalFormatting sqref="L54:L55">
    <cfRule type="cellIs" dxfId="1164" priority="1118" stopIfTrue="1" operator="between">
      <formula>50</formula>
      <formula>59.999</formula>
    </cfRule>
  </conditionalFormatting>
  <conditionalFormatting sqref="L54:L55">
    <cfRule type="cellIs" dxfId="1163" priority="1119" stopIfTrue="1" operator="between">
      <formula>40</formula>
      <formula>49.999</formula>
    </cfRule>
  </conditionalFormatting>
  <conditionalFormatting sqref="L54:L55">
    <cfRule type="cellIs" dxfId="1162" priority="1120" stopIfTrue="1" operator="lessThan">
      <formula>40</formula>
    </cfRule>
  </conditionalFormatting>
  <conditionalFormatting sqref="I56">
    <cfRule type="expression" dxfId="1161" priority="1121" stopIfTrue="1">
      <formula>ISBLANK(I56)</formula>
    </cfRule>
  </conditionalFormatting>
  <conditionalFormatting sqref="I56">
    <cfRule type="cellIs" dxfId="1160" priority="1122" stopIfTrue="1" operator="equal">
      <formula>"No grades yet"</formula>
    </cfRule>
  </conditionalFormatting>
  <conditionalFormatting sqref="I56">
    <cfRule type="cellIs" dxfId="1159" priority="1123" stopIfTrue="1" operator="greaterThanOrEqual">
      <formula>70</formula>
    </cfRule>
  </conditionalFormatting>
  <conditionalFormatting sqref="I56">
    <cfRule type="cellIs" dxfId="1158" priority="1124" stopIfTrue="1" operator="between">
      <formula>60</formula>
      <formula>69.999</formula>
    </cfRule>
  </conditionalFormatting>
  <conditionalFormatting sqref="I56">
    <cfRule type="cellIs" dxfId="1157" priority="1125" stopIfTrue="1" operator="between">
      <formula>50</formula>
      <formula>59.999</formula>
    </cfRule>
  </conditionalFormatting>
  <conditionalFormatting sqref="I56">
    <cfRule type="cellIs" dxfId="1156" priority="1126" stopIfTrue="1" operator="between">
      <formula>40</formula>
      <formula>49.999</formula>
    </cfRule>
  </conditionalFormatting>
  <conditionalFormatting sqref="I56">
    <cfRule type="cellIs" dxfId="1155" priority="1127" stopIfTrue="1" operator="lessThan">
      <formula>40</formula>
    </cfRule>
  </conditionalFormatting>
  <conditionalFormatting sqref="L56">
    <cfRule type="expression" dxfId="1154" priority="1128" stopIfTrue="1">
      <formula>ISBLANK(L56)</formula>
    </cfRule>
  </conditionalFormatting>
  <conditionalFormatting sqref="L56">
    <cfRule type="cellIs" dxfId="1153" priority="1129" stopIfTrue="1" operator="equal">
      <formula>"No grades yet"</formula>
    </cfRule>
  </conditionalFormatting>
  <conditionalFormatting sqref="L56">
    <cfRule type="cellIs" dxfId="1152" priority="1130" stopIfTrue="1" operator="greaterThanOrEqual">
      <formula>70</formula>
    </cfRule>
  </conditionalFormatting>
  <conditionalFormatting sqref="L56">
    <cfRule type="cellIs" dxfId="1151" priority="1131" stopIfTrue="1" operator="between">
      <formula>60</formula>
      <formula>69.999</formula>
    </cfRule>
  </conditionalFormatting>
  <conditionalFormatting sqref="L56">
    <cfRule type="cellIs" dxfId="1150" priority="1132" stopIfTrue="1" operator="between">
      <formula>50</formula>
      <formula>59.999</formula>
    </cfRule>
  </conditionalFormatting>
  <conditionalFormatting sqref="L56">
    <cfRule type="cellIs" dxfId="1149" priority="1133" stopIfTrue="1" operator="between">
      <formula>40</formula>
      <formula>49.999</formula>
    </cfRule>
  </conditionalFormatting>
  <conditionalFormatting sqref="L56">
    <cfRule type="cellIs" dxfId="1148" priority="1134" stopIfTrue="1" operator="lessThan">
      <formula>40</formula>
    </cfRule>
  </conditionalFormatting>
  <conditionalFormatting sqref="I57:I58">
    <cfRule type="expression" dxfId="1147" priority="1135" stopIfTrue="1">
      <formula>ISBLANK(I57)</formula>
    </cfRule>
  </conditionalFormatting>
  <conditionalFormatting sqref="I57:I58">
    <cfRule type="cellIs" dxfId="1146" priority="1136" stopIfTrue="1" operator="equal">
      <formula>"No grades yet"</formula>
    </cfRule>
  </conditionalFormatting>
  <conditionalFormatting sqref="I57:I58">
    <cfRule type="cellIs" dxfId="1145" priority="1137" stopIfTrue="1" operator="greaterThanOrEqual">
      <formula>70</formula>
    </cfRule>
  </conditionalFormatting>
  <conditionalFormatting sqref="I57:I58">
    <cfRule type="cellIs" dxfId="1144" priority="1138" stopIfTrue="1" operator="between">
      <formula>60</formula>
      <formula>69.999</formula>
    </cfRule>
  </conditionalFormatting>
  <conditionalFormatting sqref="I57:I58">
    <cfRule type="cellIs" dxfId="1143" priority="1139" stopIfTrue="1" operator="between">
      <formula>50</formula>
      <formula>59.999</formula>
    </cfRule>
  </conditionalFormatting>
  <conditionalFormatting sqref="I57:I58">
    <cfRule type="cellIs" dxfId="1142" priority="1140" stopIfTrue="1" operator="between">
      <formula>40</formula>
      <formula>49.999</formula>
    </cfRule>
  </conditionalFormatting>
  <conditionalFormatting sqref="I57:I58">
    <cfRule type="cellIs" dxfId="1141" priority="1141" stopIfTrue="1" operator="lessThan">
      <formula>40</formula>
    </cfRule>
  </conditionalFormatting>
  <conditionalFormatting sqref="L57:L58">
    <cfRule type="expression" dxfId="1140" priority="1142" stopIfTrue="1">
      <formula>ISBLANK(L57)</formula>
    </cfRule>
  </conditionalFormatting>
  <conditionalFormatting sqref="L57:L58">
    <cfRule type="cellIs" dxfId="1139" priority="1143" stopIfTrue="1" operator="equal">
      <formula>"No grades yet"</formula>
    </cfRule>
  </conditionalFormatting>
  <conditionalFormatting sqref="L57:L58">
    <cfRule type="cellIs" dxfId="1138" priority="1144" stopIfTrue="1" operator="greaterThanOrEqual">
      <formula>70</formula>
    </cfRule>
  </conditionalFormatting>
  <conditionalFormatting sqref="L57:L58">
    <cfRule type="cellIs" dxfId="1137" priority="1145" stopIfTrue="1" operator="between">
      <formula>60</formula>
      <formula>69.999</formula>
    </cfRule>
  </conditionalFormatting>
  <conditionalFormatting sqref="L57:L58">
    <cfRule type="cellIs" dxfId="1136" priority="1146" stopIfTrue="1" operator="between">
      <formula>50</formula>
      <formula>59.999</formula>
    </cfRule>
  </conditionalFormatting>
  <conditionalFormatting sqref="L57:L58">
    <cfRule type="cellIs" dxfId="1135" priority="1147" stopIfTrue="1" operator="between">
      <formula>40</formula>
      <formula>49.999</formula>
    </cfRule>
  </conditionalFormatting>
  <conditionalFormatting sqref="L57:L58">
    <cfRule type="cellIs" dxfId="1134" priority="1148" stopIfTrue="1" operator="lessThan">
      <formula>40</formula>
    </cfRule>
  </conditionalFormatting>
  <conditionalFormatting sqref="I59">
    <cfRule type="expression" dxfId="1133" priority="1149" stopIfTrue="1">
      <formula>ISBLANK(I59)</formula>
    </cfRule>
  </conditionalFormatting>
  <conditionalFormatting sqref="I59">
    <cfRule type="cellIs" dxfId="1132" priority="1150" stopIfTrue="1" operator="equal">
      <formula>"No grades yet"</formula>
    </cfRule>
  </conditionalFormatting>
  <conditionalFormatting sqref="I59">
    <cfRule type="cellIs" dxfId="1131" priority="1151" stopIfTrue="1" operator="greaterThanOrEqual">
      <formula>70</formula>
    </cfRule>
  </conditionalFormatting>
  <conditionalFormatting sqref="I59">
    <cfRule type="cellIs" dxfId="1130" priority="1152" stopIfTrue="1" operator="between">
      <formula>60</formula>
      <formula>69.999</formula>
    </cfRule>
  </conditionalFormatting>
  <conditionalFormatting sqref="I59">
    <cfRule type="cellIs" dxfId="1129" priority="1153" stopIfTrue="1" operator="between">
      <formula>50</formula>
      <formula>59.999</formula>
    </cfRule>
  </conditionalFormatting>
  <conditionalFormatting sqref="I59">
    <cfRule type="cellIs" dxfId="1128" priority="1154" stopIfTrue="1" operator="between">
      <formula>40</formula>
      <formula>49.999</formula>
    </cfRule>
  </conditionalFormatting>
  <conditionalFormatting sqref="I59">
    <cfRule type="cellIs" dxfId="1127" priority="1155" stopIfTrue="1" operator="lessThan">
      <formula>40</formula>
    </cfRule>
  </conditionalFormatting>
  <conditionalFormatting sqref="L59">
    <cfRule type="expression" dxfId="1126" priority="1156" stopIfTrue="1">
      <formula>ISBLANK(L59)</formula>
    </cfRule>
  </conditionalFormatting>
  <conditionalFormatting sqref="L59">
    <cfRule type="cellIs" dxfId="1125" priority="1157" stopIfTrue="1" operator="equal">
      <formula>"No grades yet"</formula>
    </cfRule>
  </conditionalFormatting>
  <conditionalFormatting sqref="L59">
    <cfRule type="cellIs" dxfId="1124" priority="1158" stopIfTrue="1" operator="greaterThanOrEqual">
      <formula>70</formula>
    </cfRule>
  </conditionalFormatting>
  <conditionalFormatting sqref="L59">
    <cfRule type="cellIs" dxfId="1123" priority="1159" stopIfTrue="1" operator="between">
      <formula>60</formula>
      <formula>69.999</formula>
    </cfRule>
  </conditionalFormatting>
  <conditionalFormatting sqref="L59">
    <cfRule type="cellIs" dxfId="1122" priority="1160" stopIfTrue="1" operator="between">
      <formula>50</formula>
      <formula>59.999</formula>
    </cfRule>
  </conditionalFormatting>
  <conditionalFormatting sqref="L59">
    <cfRule type="cellIs" dxfId="1121" priority="1161" stopIfTrue="1" operator="between">
      <formula>40</formula>
      <formula>49.999</formula>
    </cfRule>
  </conditionalFormatting>
  <conditionalFormatting sqref="L59">
    <cfRule type="cellIs" dxfId="1120" priority="1162" stopIfTrue="1" operator="lessThan">
      <formula>40</formula>
    </cfRule>
  </conditionalFormatting>
  <conditionalFormatting sqref="I60:I61">
    <cfRule type="expression" dxfId="1119" priority="1163" stopIfTrue="1">
      <formula>ISBLANK(I60)</formula>
    </cfRule>
  </conditionalFormatting>
  <conditionalFormatting sqref="I60:I61">
    <cfRule type="cellIs" dxfId="1118" priority="1164" stopIfTrue="1" operator="equal">
      <formula>"No grades yet"</formula>
    </cfRule>
  </conditionalFormatting>
  <conditionalFormatting sqref="I60:I61">
    <cfRule type="cellIs" dxfId="1117" priority="1165" stopIfTrue="1" operator="greaterThanOrEqual">
      <formula>70</formula>
    </cfRule>
  </conditionalFormatting>
  <conditionalFormatting sqref="I60:I61">
    <cfRule type="cellIs" dxfId="1116" priority="1166" stopIfTrue="1" operator="between">
      <formula>60</formula>
      <formula>69.999</formula>
    </cfRule>
  </conditionalFormatting>
  <conditionalFormatting sqref="I60:I61">
    <cfRule type="cellIs" dxfId="1115" priority="1167" stopIfTrue="1" operator="between">
      <formula>50</formula>
      <formula>59.999</formula>
    </cfRule>
  </conditionalFormatting>
  <conditionalFormatting sqref="I60:I61">
    <cfRule type="cellIs" dxfId="1114" priority="1168" stopIfTrue="1" operator="between">
      <formula>40</formula>
      <formula>49.999</formula>
    </cfRule>
  </conditionalFormatting>
  <conditionalFormatting sqref="I60:I61">
    <cfRule type="cellIs" dxfId="1113" priority="1169" stopIfTrue="1" operator="lessThan">
      <formula>40</formula>
    </cfRule>
  </conditionalFormatting>
  <conditionalFormatting sqref="L60:L61">
    <cfRule type="expression" dxfId="1112" priority="1170" stopIfTrue="1">
      <formula>ISBLANK(L60)</formula>
    </cfRule>
  </conditionalFormatting>
  <conditionalFormatting sqref="L60:L61">
    <cfRule type="cellIs" dxfId="1111" priority="1171" stopIfTrue="1" operator="equal">
      <formula>"No grades yet"</formula>
    </cfRule>
  </conditionalFormatting>
  <conditionalFormatting sqref="L60:L61">
    <cfRule type="cellIs" dxfId="1110" priority="1172" stopIfTrue="1" operator="greaterThanOrEqual">
      <formula>70</formula>
    </cfRule>
  </conditionalFormatting>
  <conditionalFormatting sqref="L60:L61">
    <cfRule type="cellIs" dxfId="1109" priority="1173" stopIfTrue="1" operator="between">
      <formula>60</formula>
      <formula>69.999</formula>
    </cfRule>
  </conditionalFormatting>
  <conditionalFormatting sqref="L60:L61">
    <cfRule type="cellIs" dxfId="1108" priority="1174" stopIfTrue="1" operator="between">
      <formula>50</formula>
      <formula>59.999</formula>
    </cfRule>
  </conditionalFormatting>
  <conditionalFormatting sqref="L60:L61">
    <cfRule type="cellIs" dxfId="1107" priority="1175" stopIfTrue="1" operator="between">
      <formula>40</formula>
      <formula>49.999</formula>
    </cfRule>
  </conditionalFormatting>
  <conditionalFormatting sqref="L60:L61">
    <cfRule type="cellIs" dxfId="1106" priority="1176" stopIfTrue="1" operator="lessThan">
      <formula>40</formula>
    </cfRule>
  </conditionalFormatting>
  <conditionalFormatting sqref="I62:I65">
    <cfRule type="expression" dxfId="1105" priority="1177" stopIfTrue="1">
      <formula>ISBLANK(I62)</formula>
    </cfRule>
  </conditionalFormatting>
  <conditionalFormatting sqref="I62:I65">
    <cfRule type="cellIs" dxfId="1104" priority="1178" stopIfTrue="1" operator="equal">
      <formula>"No grades yet"</formula>
    </cfRule>
  </conditionalFormatting>
  <conditionalFormatting sqref="I62:I65">
    <cfRule type="cellIs" dxfId="1103" priority="1179" stopIfTrue="1" operator="greaterThanOrEqual">
      <formula>70</formula>
    </cfRule>
  </conditionalFormatting>
  <conditionalFormatting sqref="I62:I65">
    <cfRule type="cellIs" dxfId="1102" priority="1180" stopIfTrue="1" operator="between">
      <formula>60</formula>
      <formula>69.999</formula>
    </cfRule>
  </conditionalFormatting>
  <conditionalFormatting sqref="I62:I65">
    <cfRule type="cellIs" dxfId="1101" priority="1181" stopIfTrue="1" operator="between">
      <formula>50</formula>
      <formula>59.999</formula>
    </cfRule>
  </conditionalFormatting>
  <conditionalFormatting sqref="I62:I65">
    <cfRule type="cellIs" dxfId="1100" priority="1182" stopIfTrue="1" operator="between">
      <formula>40</formula>
      <formula>49.999</formula>
    </cfRule>
  </conditionalFormatting>
  <conditionalFormatting sqref="I62:I65">
    <cfRule type="cellIs" dxfId="1099" priority="1183" stopIfTrue="1" operator="lessThan">
      <formula>40</formula>
    </cfRule>
  </conditionalFormatting>
  <conditionalFormatting sqref="L62:L65">
    <cfRule type="expression" dxfId="1098" priority="1184" stopIfTrue="1">
      <formula>ISBLANK(L62)</formula>
    </cfRule>
  </conditionalFormatting>
  <conditionalFormatting sqref="L62:L65">
    <cfRule type="cellIs" dxfId="1097" priority="1185" stopIfTrue="1" operator="equal">
      <formula>"No grades yet"</formula>
    </cfRule>
  </conditionalFormatting>
  <conditionalFormatting sqref="L62:L65">
    <cfRule type="cellIs" dxfId="1096" priority="1186" stopIfTrue="1" operator="greaterThanOrEqual">
      <formula>70</formula>
    </cfRule>
  </conditionalFormatting>
  <conditionalFormatting sqref="L62:L65">
    <cfRule type="cellIs" dxfId="1095" priority="1187" stopIfTrue="1" operator="between">
      <formula>60</formula>
      <formula>69.999</formula>
    </cfRule>
  </conditionalFormatting>
  <conditionalFormatting sqref="L62:L65">
    <cfRule type="cellIs" dxfId="1094" priority="1188" stopIfTrue="1" operator="between">
      <formula>50</formula>
      <formula>59.999</formula>
    </cfRule>
  </conditionalFormatting>
  <conditionalFormatting sqref="L62:L65">
    <cfRule type="cellIs" dxfId="1093" priority="1189" stopIfTrue="1" operator="between">
      <formula>40</formula>
      <formula>49.999</formula>
    </cfRule>
  </conditionalFormatting>
  <conditionalFormatting sqref="L62:L65">
    <cfRule type="cellIs" dxfId="1092" priority="1190" stopIfTrue="1" operator="lessThan">
      <formula>40</formula>
    </cfRule>
  </conditionalFormatting>
  <conditionalFormatting sqref="I66:I67">
    <cfRule type="expression" dxfId="1091" priority="1191" stopIfTrue="1">
      <formula>ISBLANK(I66)</formula>
    </cfRule>
  </conditionalFormatting>
  <conditionalFormatting sqref="I66:I67">
    <cfRule type="cellIs" dxfId="1090" priority="1192" stopIfTrue="1" operator="equal">
      <formula>"No grades yet"</formula>
    </cfRule>
  </conditionalFormatting>
  <conditionalFormatting sqref="I66:I67">
    <cfRule type="cellIs" dxfId="1089" priority="1193" stopIfTrue="1" operator="greaterThanOrEqual">
      <formula>70</formula>
    </cfRule>
  </conditionalFormatting>
  <conditionalFormatting sqref="I66:I67">
    <cfRule type="cellIs" dxfId="1088" priority="1194" stopIfTrue="1" operator="between">
      <formula>60</formula>
      <formula>69.999</formula>
    </cfRule>
  </conditionalFormatting>
  <conditionalFormatting sqref="I66:I67">
    <cfRule type="cellIs" dxfId="1087" priority="1195" stopIfTrue="1" operator="between">
      <formula>50</formula>
      <formula>59.999</formula>
    </cfRule>
  </conditionalFormatting>
  <conditionalFormatting sqref="I66:I67">
    <cfRule type="cellIs" dxfId="1086" priority="1196" stopIfTrue="1" operator="between">
      <formula>40</formula>
      <formula>49.999</formula>
    </cfRule>
  </conditionalFormatting>
  <conditionalFormatting sqref="I66:I67">
    <cfRule type="cellIs" dxfId="1085" priority="1197" stopIfTrue="1" operator="lessThan">
      <formula>40</formula>
    </cfRule>
  </conditionalFormatting>
  <conditionalFormatting sqref="L66:L67">
    <cfRule type="expression" dxfId="1084" priority="1198" stopIfTrue="1">
      <formula>ISBLANK(L66)</formula>
    </cfRule>
  </conditionalFormatting>
  <conditionalFormatting sqref="L66:L67">
    <cfRule type="cellIs" dxfId="1083" priority="1199" stopIfTrue="1" operator="equal">
      <formula>"No grades yet"</formula>
    </cfRule>
  </conditionalFormatting>
  <conditionalFormatting sqref="L66:L67">
    <cfRule type="cellIs" dxfId="1082" priority="1200" stopIfTrue="1" operator="greaterThanOrEqual">
      <formula>70</formula>
    </cfRule>
  </conditionalFormatting>
  <conditionalFormatting sqref="L66:L67">
    <cfRule type="cellIs" dxfId="1081" priority="1201" stopIfTrue="1" operator="between">
      <formula>60</formula>
      <formula>69.999</formula>
    </cfRule>
  </conditionalFormatting>
  <conditionalFormatting sqref="L66:L67">
    <cfRule type="cellIs" dxfId="1080" priority="1202" stopIfTrue="1" operator="between">
      <formula>50</formula>
      <formula>59.999</formula>
    </cfRule>
  </conditionalFormatting>
  <conditionalFormatting sqref="L66:L67">
    <cfRule type="cellIs" dxfId="1079" priority="1203" stopIfTrue="1" operator="between">
      <formula>40</formula>
      <formula>49.999</formula>
    </cfRule>
  </conditionalFormatting>
  <conditionalFormatting sqref="L66:L67">
    <cfRule type="cellIs" dxfId="1078" priority="1204" stopIfTrue="1" operator="lessThan">
      <formula>40</formula>
    </cfRule>
  </conditionalFormatting>
  <conditionalFormatting sqref="I68:I69">
    <cfRule type="expression" dxfId="1077" priority="1205" stopIfTrue="1">
      <formula>ISBLANK(I68)</formula>
    </cfRule>
  </conditionalFormatting>
  <conditionalFormatting sqref="I68:I69">
    <cfRule type="cellIs" dxfId="1076" priority="1206" stopIfTrue="1" operator="equal">
      <formula>"No grades yet"</formula>
    </cfRule>
  </conditionalFormatting>
  <conditionalFormatting sqref="I68:I69">
    <cfRule type="cellIs" dxfId="1075" priority="1207" stopIfTrue="1" operator="greaterThanOrEqual">
      <formula>70</formula>
    </cfRule>
  </conditionalFormatting>
  <conditionalFormatting sqref="I68:I69">
    <cfRule type="cellIs" dxfId="1074" priority="1208" stopIfTrue="1" operator="between">
      <formula>60</formula>
      <formula>69.999</formula>
    </cfRule>
  </conditionalFormatting>
  <conditionalFormatting sqref="I68:I69">
    <cfRule type="cellIs" dxfId="1073" priority="1209" stopIfTrue="1" operator="between">
      <formula>50</formula>
      <formula>59.999</formula>
    </cfRule>
  </conditionalFormatting>
  <conditionalFormatting sqref="I68:I69">
    <cfRule type="cellIs" dxfId="1072" priority="1210" stopIfTrue="1" operator="between">
      <formula>40</formula>
      <formula>49.999</formula>
    </cfRule>
  </conditionalFormatting>
  <conditionalFormatting sqref="I68:I69">
    <cfRule type="cellIs" dxfId="1071" priority="1211" stopIfTrue="1" operator="lessThan">
      <formula>40</formula>
    </cfRule>
  </conditionalFormatting>
  <conditionalFormatting sqref="L68:L69">
    <cfRule type="expression" dxfId="1070" priority="1212" stopIfTrue="1">
      <formula>ISBLANK(L68)</formula>
    </cfRule>
  </conditionalFormatting>
  <conditionalFormatting sqref="L68:L69">
    <cfRule type="cellIs" dxfId="1069" priority="1213" stopIfTrue="1" operator="equal">
      <formula>"No grades yet"</formula>
    </cfRule>
  </conditionalFormatting>
  <conditionalFormatting sqref="L68:L69">
    <cfRule type="cellIs" dxfId="1068" priority="1214" stopIfTrue="1" operator="greaterThanOrEqual">
      <formula>70</formula>
    </cfRule>
  </conditionalFormatting>
  <conditionalFormatting sqref="L68:L69">
    <cfRule type="cellIs" dxfId="1067" priority="1215" stopIfTrue="1" operator="between">
      <formula>60</formula>
      <formula>69.999</formula>
    </cfRule>
  </conditionalFormatting>
  <conditionalFormatting sqref="L68:L69">
    <cfRule type="cellIs" dxfId="1066" priority="1216" stopIfTrue="1" operator="between">
      <formula>50</formula>
      <formula>59.999</formula>
    </cfRule>
  </conditionalFormatting>
  <conditionalFormatting sqref="L68:L69">
    <cfRule type="cellIs" dxfId="1065" priority="1217" stopIfTrue="1" operator="between">
      <formula>40</formula>
      <formula>49.999</formula>
    </cfRule>
  </conditionalFormatting>
  <conditionalFormatting sqref="L68:L69">
    <cfRule type="cellIs" dxfId="1064" priority="1218" stopIfTrue="1" operator="lessThan">
      <formula>40</formula>
    </cfRule>
  </conditionalFormatting>
  <conditionalFormatting sqref="I70:I71">
    <cfRule type="expression" dxfId="1063" priority="1219" stopIfTrue="1">
      <formula>ISBLANK(I70)</formula>
    </cfRule>
  </conditionalFormatting>
  <conditionalFormatting sqref="I70:I71">
    <cfRule type="cellIs" dxfId="1062" priority="1220" stopIfTrue="1" operator="equal">
      <formula>"No grades yet"</formula>
    </cfRule>
  </conditionalFormatting>
  <conditionalFormatting sqref="I70:I71">
    <cfRule type="cellIs" dxfId="1061" priority="1221" stopIfTrue="1" operator="greaterThanOrEqual">
      <formula>70</formula>
    </cfRule>
  </conditionalFormatting>
  <conditionalFormatting sqref="I70:I71">
    <cfRule type="cellIs" dxfId="1060" priority="1222" stopIfTrue="1" operator="between">
      <formula>60</formula>
      <formula>69.999</formula>
    </cfRule>
  </conditionalFormatting>
  <conditionalFormatting sqref="I70:I71">
    <cfRule type="cellIs" dxfId="1059" priority="1223" stopIfTrue="1" operator="between">
      <formula>50</formula>
      <formula>59.999</formula>
    </cfRule>
  </conditionalFormatting>
  <conditionalFormatting sqref="I70:I71">
    <cfRule type="cellIs" dxfId="1058" priority="1224" stopIfTrue="1" operator="between">
      <formula>40</formula>
      <formula>49.999</formula>
    </cfRule>
  </conditionalFormatting>
  <conditionalFormatting sqref="I70:I71">
    <cfRule type="cellIs" dxfId="1057" priority="1225" stopIfTrue="1" operator="lessThan">
      <formula>40</formula>
    </cfRule>
  </conditionalFormatting>
  <conditionalFormatting sqref="L70:L71">
    <cfRule type="expression" dxfId="1056" priority="1226" stopIfTrue="1">
      <formula>ISBLANK(L70)</formula>
    </cfRule>
  </conditionalFormatting>
  <conditionalFormatting sqref="L70:L71">
    <cfRule type="cellIs" dxfId="1055" priority="1227" stopIfTrue="1" operator="equal">
      <formula>"No grades yet"</formula>
    </cfRule>
  </conditionalFormatting>
  <conditionalFormatting sqref="L70:L71">
    <cfRule type="cellIs" dxfId="1054" priority="1228" stopIfTrue="1" operator="greaterThanOrEqual">
      <formula>70</formula>
    </cfRule>
  </conditionalFormatting>
  <conditionalFormatting sqref="L70:L71">
    <cfRule type="cellIs" dxfId="1053" priority="1229" stopIfTrue="1" operator="between">
      <formula>60</formula>
      <formula>69.999</formula>
    </cfRule>
  </conditionalFormatting>
  <conditionalFormatting sqref="L70:L71">
    <cfRule type="cellIs" dxfId="1052" priority="1230" stopIfTrue="1" operator="between">
      <formula>50</formula>
      <formula>59.999</formula>
    </cfRule>
  </conditionalFormatting>
  <conditionalFormatting sqref="L70:L71">
    <cfRule type="cellIs" dxfId="1051" priority="1231" stopIfTrue="1" operator="between">
      <formula>40</formula>
      <formula>49.999</formula>
    </cfRule>
  </conditionalFormatting>
  <conditionalFormatting sqref="L70:L71">
    <cfRule type="cellIs" dxfId="1050" priority="1232" stopIfTrue="1" operator="lessThan">
      <formula>40</formula>
    </cfRule>
  </conditionalFormatting>
  <conditionalFormatting sqref="I72">
    <cfRule type="expression" dxfId="1049" priority="1233" stopIfTrue="1">
      <formula>ISBLANK(I72)</formula>
    </cfRule>
  </conditionalFormatting>
  <conditionalFormatting sqref="I72">
    <cfRule type="cellIs" dxfId="1048" priority="1234" stopIfTrue="1" operator="equal">
      <formula>"No grades yet"</formula>
    </cfRule>
  </conditionalFormatting>
  <conditionalFormatting sqref="I72">
    <cfRule type="cellIs" dxfId="1047" priority="1235" stopIfTrue="1" operator="greaterThanOrEqual">
      <formula>70</formula>
    </cfRule>
  </conditionalFormatting>
  <conditionalFormatting sqref="I72">
    <cfRule type="cellIs" dxfId="1046" priority="1236" stopIfTrue="1" operator="between">
      <formula>60</formula>
      <formula>69.999</formula>
    </cfRule>
  </conditionalFormatting>
  <conditionalFormatting sqref="I72">
    <cfRule type="cellIs" dxfId="1045" priority="1237" stopIfTrue="1" operator="between">
      <formula>50</formula>
      <formula>59.999</formula>
    </cfRule>
  </conditionalFormatting>
  <conditionalFormatting sqref="I72">
    <cfRule type="cellIs" dxfId="1044" priority="1238" stopIfTrue="1" operator="between">
      <formula>40</formula>
      <formula>49.999</formula>
    </cfRule>
  </conditionalFormatting>
  <conditionalFormatting sqref="I72">
    <cfRule type="cellIs" dxfId="1043" priority="1239" stopIfTrue="1" operator="lessThan">
      <formula>40</formula>
    </cfRule>
  </conditionalFormatting>
  <conditionalFormatting sqref="L72">
    <cfRule type="expression" dxfId="1042" priority="1240" stopIfTrue="1">
      <formula>ISBLANK(L72)</formula>
    </cfRule>
  </conditionalFormatting>
  <conditionalFormatting sqref="L72">
    <cfRule type="cellIs" dxfId="1041" priority="1241" stopIfTrue="1" operator="equal">
      <formula>"No grades yet"</formula>
    </cfRule>
  </conditionalFormatting>
  <conditionalFormatting sqref="L72">
    <cfRule type="cellIs" dxfId="1040" priority="1242" stopIfTrue="1" operator="greaterThanOrEqual">
      <formula>70</formula>
    </cfRule>
  </conditionalFormatting>
  <conditionalFormatting sqref="L72">
    <cfRule type="cellIs" dxfId="1039" priority="1243" stopIfTrue="1" operator="between">
      <formula>60</formula>
      <formula>69.999</formula>
    </cfRule>
  </conditionalFormatting>
  <conditionalFormatting sqref="L72">
    <cfRule type="cellIs" dxfId="1038" priority="1244" stopIfTrue="1" operator="between">
      <formula>50</formula>
      <formula>59.999</formula>
    </cfRule>
  </conditionalFormatting>
  <conditionalFormatting sqref="L72">
    <cfRule type="cellIs" dxfId="1037" priority="1245" stopIfTrue="1" operator="between">
      <formula>40</formula>
      <formula>49.999</formula>
    </cfRule>
  </conditionalFormatting>
  <conditionalFormatting sqref="L72">
    <cfRule type="cellIs" dxfId="1036" priority="1246" stopIfTrue="1" operator="lessThan">
      <formula>40</formula>
    </cfRule>
  </conditionalFormatting>
  <conditionalFormatting sqref="I73">
    <cfRule type="expression" dxfId="1035" priority="1247" stopIfTrue="1">
      <formula>ISBLANK(I73)</formula>
    </cfRule>
  </conditionalFormatting>
  <conditionalFormatting sqref="I73">
    <cfRule type="cellIs" dxfId="1034" priority="1248" stopIfTrue="1" operator="equal">
      <formula>"No grades yet"</formula>
    </cfRule>
  </conditionalFormatting>
  <conditionalFormatting sqref="I73">
    <cfRule type="cellIs" dxfId="1033" priority="1249" stopIfTrue="1" operator="greaterThanOrEqual">
      <formula>70</formula>
    </cfRule>
  </conditionalFormatting>
  <conditionalFormatting sqref="I73">
    <cfRule type="cellIs" dxfId="1032" priority="1250" stopIfTrue="1" operator="between">
      <formula>60</formula>
      <formula>69.999</formula>
    </cfRule>
  </conditionalFormatting>
  <conditionalFormatting sqref="I73">
    <cfRule type="cellIs" dxfId="1031" priority="1251" stopIfTrue="1" operator="between">
      <formula>50</formula>
      <formula>59.999</formula>
    </cfRule>
  </conditionalFormatting>
  <conditionalFormatting sqref="I73">
    <cfRule type="cellIs" dxfId="1030" priority="1252" stopIfTrue="1" operator="between">
      <formula>40</formula>
      <formula>49.999</formula>
    </cfRule>
  </conditionalFormatting>
  <conditionalFormatting sqref="I73">
    <cfRule type="cellIs" dxfId="1029" priority="1253" stopIfTrue="1" operator="lessThan">
      <formula>40</formula>
    </cfRule>
  </conditionalFormatting>
  <conditionalFormatting sqref="L73">
    <cfRule type="expression" dxfId="1028" priority="1254" stopIfTrue="1">
      <formula>ISBLANK(L73)</formula>
    </cfRule>
  </conditionalFormatting>
  <conditionalFormatting sqref="L73">
    <cfRule type="cellIs" dxfId="1027" priority="1255" stopIfTrue="1" operator="equal">
      <formula>"No grades yet"</formula>
    </cfRule>
  </conditionalFormatting>
  <conditionalFormatting sqref="L73">
    <cfRule type="cellIs" dxfId="1026" priority="1256" stopIfTrue="1" operator="greaterThanOrEqual">
      <formula>70</formula>
    </cfRule>
  </conditionalFormatting>
  <conditionalFormatting sqref="L73">
    <cfRule type="cellIs" dxfId="1025" priority="1257" stopIfTrue="1" operator="between">
      <formula>60</formula>
      <formula>69.999</formula>
    </cfRule>
  </conditionalFormatting>
  <conditionalFormatting sqref="L73">
    <cfRule type="cellIs" dxfId="1024" priority="1258" stopIfTrue="1" operator="between">
      <formula>50</formula>
      <formula>59.999</formula>
    </cfRule>
  </conditionalFormatting>
  <conditionalFormatting sqref="L73">
    <cfRule type="cellIs" dxfId="1023" priority="1259" stopIfTrue="1" operator="between">
      <formula>40</formula>
      <formula>49.999</formula>
    </cfRule>
  </conditionalFormatting>
  <conditionalFormatting sqref="L73">
    <cfRule type="cellIs" dxfId="1022" priority="1260" stopIfTrue="1" operator="lessThan">
      <formula>40</formula>
    </cfRule>
  </conditionalFormatting>
  <conditionalFormatting sqref="I74">
    <cfRule type="expression" dxfId="1021" priority="1261" stopIfTrue="1">
      <formula>ISBLANK(I74)</formula>
    </cfRule>
  </conditionalFormatting>
  <conditionalFormatting sqref="I74">
    <cfRule type="cellIs" dxfId="1020" priority="1262" stopIfTrue="1" operator="equal">
      <formula>"No grades yet"</formula>
    </cfRule>
  </conditionalFormatting>
  <conditionalFormatting sqref="I74">
    <cfRule type="cellIs" dxfId="1019" priority="1263" stopIfTrue="1" operator="greaterThanOrEqual">
      <formula>70</formula>
    </cfRule>
  </conditionalFormatting>
  <conditionalFormatting sqref="I74">
    <cfRule type="cellIs" dxfId="1018" priority="1264" stopIfTrue="1" operator="between">
      <formula>60</formula>
      <formula>69.999</formula>
    </cfRule>
  </conditionalFormatting>
  <conditionalFormatting sqref="I74">
    <cfRule type="cellIs" dxfId="1017" priority="1265" stopIfTrue="1" operator="between">
      <formula>50</formula>
      <formula>59.999</formula>
    </cfRule>
  </conditionalFormatting>
  <conditionalFormatting sqref="I74">
    <cfRule type="cellIs" dxfId="1016" priority="1266" stopIfTrue="1" operator="between">
      <formula>40</formula>
      <formula>49.999</formula>
    </cfRule>
  </conditionalFormatting>
  <conditionalFormatting sqref="I74">
    <cfRule type="cellIs" dxfId="1015" priority="1267" stopIfTrue="1" operator="lessThan">
      <formula>40</formula>
    </cfRule>
  </conditionalFormatting>
  <conditionalFormatting sqref="L74">
    <cfRule type="expression" dxfId="1014" priority="1268" stopIfTrue="1">
      <formula>ISBLANK(L74)</formula>
    </cfRule>
  </conditionalFormatting>
  <conditionalFormatting sqref="L74">
    <cfRule type="cellIs" dxfId="1013" priority="1269" stopIfTrue="1" operator="equal">
      <formula>"No grades yet"</formula>
    </cfRule>
  </conditionalFormatting>
  <conditionalFormatting sqref="L74">
    <cfRule type="cellIs" dxfId="1012" priority="1270" stopIfTrue="1" operator="greaterThanOrEqual">
      <formula>70</formula>
    </cfRule>
  </conditionalFormatting>
  <conditionalFormatting sqref="L74">
    <cfRule type="cellIs" dxfId="1011" priority="1271" stopIfTrue="1" operator="between">
      <formula>60</formula>
      <formula>69.999</formula>
    </cfRule>
  </conditionalFormatting>
  <conditionalFormatting sqref="L74">
    <cfRule type="cellIs" dxfId="1010" priority="1272" stopIfTrue="1" operator="between">
      <formula>50</formula>
      <formula>59.999</formula>
    </cfRule>
  </conditionalFormatting>
  <conditionalFormatting sqref="L74">
    <cfRule type="cellIs" dxfId="1009" priority="1273" stopIfTrue="1" operator="between">
      <formula>40</formula>
      <formula>49.999</formula>
    </cfRule>
  </conditionalFormatting>
  <conditionalFormatting sqref="L74">
    <cfRule type="cellIs" dxfId="1008" priority="1274" stopIfTrue="1" operator="lessThan">
      <formula>40</formula>
    </cfRule>
  </conditionalFormatting>
  <conditionalFormatting sqref="I75">
    <cfRule type="expression" dxfId="1007" priority="1275" stopIfTrue="1">
      <formula>ISBLANK(I75)</formula>
    </cfRule>
  </conditionalFormatting>
  <conditionalFormatting sqref="I75">
    <cfRule type="cellIs" dxfId="1006" priority="1276" stopIfTrue="1" operator="equal">
      <formula>"No grades yet"</formula>
    </cfRule>
  </conditionalFormatting>
  <conditionalFormatting sqref="I75">
    <cfRule type="cellIs" dxfId="1005" priority="1277" stopIfTrue="1" operator="greaterThanOrEqual">
      <formula>70</formula>
    </cfRule>
  </conditionalFormatting>
  <conditionalFormatting sqref="I75">
    <cfRule type="cellIs" dxfId="1004" priority="1278" stopIfTrue="1" operator="between">
      <formula>60</formula>
      <formula>69.999</formula>
    </cfRule>
  </conditionalFormatting>
  <conditionalFormatting sqref="I75">
    <cfRule type="cellIs" dxfId="1003" priority="1279" stopIfTrue="1" operator="between">
      <formula>50</formula>
      <formula>59.999</formula>
    </cfRule>
  </conditionalFormatting>
  <conditionalFormatting sqref="I75">
    <cfRule type="cellIs" dxfId="1002" priority="1280" stopIfTrue="1" operator="between">
      <formula>40</formula>
      <formula>49.999</formula>
    </cfRule>
  </conditionalFormatting>
  <conditionalFormatting sqref="I75">
    <cfRule type="cellIs" dxfId="1001" priority="1281" stopIfTrue="1" operator="lessThan">
      <formula>40</formula>
    </cfRule>
  </conditionalFormatting>
  <conditionalFormatting sqref="L75">
    <cfRule type="expression" dxfId="1000" priority="1282" stopIfTrue="1">
      <formula>ISBLANK(L75)</formula>
    </cfRule>
  </conditionalFormatting>
  <conditionalFormatting sqref="L75">
    <cfRule type="cellIs" dxfId="999" priority="1283" stopIfTrue="1" operator="equal">
      <formula>"No grades yet"</formula>
    </cfRule>
  </conditionalFormatting>
  <conditionalFormatting sqref="L75">
    <cfRule type="cellIs" dxfId="998" priority="1284" stopIfTrue="1" operator="greaterThanOrEqual">
      <formula>70</formula>
    </cfRule>
  </conditionalFormatting>
  <conditionalFormatting sqref="L75">
    <cfRule type="cellIs" dxfId="997" priority="1285" stopIfTrue="1" operator="between">
      <formula>60</formula>
      <formula>69.999</formula>
    </cfRule>
  </conditionalFormatting>
  <conditionalFormatting sqref="L75">
    <cfRule type="cellIs" dxfId="996" priority="1286" stopIfTrue="1" operator="between">
      <formula>50</formula>
      <formula>59.999</formula>
    </cfRule>
  </conditionalFormatting>
  <conditionalFormatting sqref="L75">
    <cfRule type="cellIs" dxfId="995" priority="1287" stopIfTrue="1" operator="between">
      <formula>40</formula>
      <formula>49.999</formula>
    </cfRule>
  </conditionalFormatting>
  <conditionalFormatting sqref="L75">
    <cfRule type="cellIs" dxfId="994" priority="1288" stopIfTrue="1" operator="lessThan">
      <formula>40</formula>
    </cfRule>
  </conditionalFormatting>
  <conditionalFormatting sqref="I76">
    <cfRule type="expression" dxfId="993" priority="1289" stopIfTrue="1">
      <formula>ISBLANK(I76)</formula>
    </cfRule>
  </conditionalFormatting>
  <conditionalFormatting sqref="I76">
    <cfRule type="cellIs" dxfId="992" priority="1290" stopIfTrue="1" operator="equal">
      <formula>"No grades yet"</formula>
    </cfRule>
  </conditionalFormatting>
  <conditionalFormatting sqref="I76">
    <cfRule type="cellIs" dxfId="991" priority="1291" stopIfTrue="1" operator="greaterThanOrEqual">
      <formula>70</formula>
    </cfRule>
  </conditionalFormatting>
  <conditionalFormatting sqref="I76">
    <cfRule type="cellIs" dxfId="990" priority="1292" stopIfTrue="1" operator="between">
      <formula>60</formula>
      <formula>69.999</formula>
    </cfRule>
  </conditionalFormatting>
  <conditionalFormatting sqref="I76">
    <cfRule type="cellIs" dxfId="989" priority="1293" stopIfTrue="1" operator="between">
      <formula>50</formula>
      <formula>59.999</formula>
    </cfRule>
  </conditionalFormatting>
  <conditionalFormatting sqref="I76">
    <cfRule type="cellIs" dxfId="988" priority="1294" stopIfTrue="1" operator="between">
      <formula>40</formula>
      <formula>49.999</formula>
    </cfRule>
  </conditionalFormatting>
  <conditionalFormatting sqref="I76">
    <cfRule type="cellIs" dxfId="987" priority="1295" stopIfTrue="1" operator="lessThan">
      <formula>40</formula>
    </cfRule>
  </conditionalFormatting>
  <conditionalFormatting sqref="L76">
    <cfRule type="expression" dxfId="986" priority="1296" stopIfTrue="1">
      <formula>ISBLANK(L76)</formula>
    </cfRule>
  </conditionalFormatting>
  <conditionalFormatting sqref="L76">
    <cfRule type="cellIs" dxfId="985" priority="1297" stopIfTrue="1" operator="equal">
      <formula>"No grades yet"</formula>
    </cfRule>
  </conditionalFormatting>
  <conditionalFormatting sqref="L76">
    <cfRule type="cellIs" dxfId="984" priority="1298" stopIfTrue="1" operator="greaterThanOrEqual">
      <formula>70</formula>
    </cfRule>
  </conditionalFormatting>
  <conditionalFormatting sqref="L76">
    <cfRule type="cellIs" dxfId="983" priority="1299" stopIfTrue="1" operator="between">
      <formula>60</formula>
      <formula>69.999</formula>
    </cfRule>
  </conditionalFormatting>
  <conditionalFormatting sqref="L76">
    <cfRule type="cellIs" dxfId="982" priority="1300" stopIfTrue="1" operator="between">
      <formula>50</formula>
      <formula>59.999</formula>
    </cfRule>
  </conditionalFormatting>
  <conditionalFormatting sqref="L76">
    <cfRule type="cellIs" dxfId="981" priority="1301" stopIfTrue="1" operator="between">
      <formula>40</formula>
      <formula>49.999</formula>
    </cfRule>
  </conditionalFormatting>
  <conditionalFormatting sqref="L76">
    <cfRule type="cellIs" dxfId="980" priority="1302" stopIfTrue="1" operator="lessThan">
      <formula>40</formula>
    </cfRule>
  </conditionalFormatting>
  <conditionalFormatting sqref="I77">
    <cfRule type="expression" dxfId="979" priority="1303" stopIfTrue="1">
      <formula>ISBLANK(I77)</formula>
    </cfRule>
  </conditionalFormatting>
  <conditionalFormatting sqref="I77">
    <cfRule type="cellIs" dxfId="978" priority="1304" stopIfTrue="1" operator="equal">
      <formula>"No grades yet"</formula>
    </cfRule>
  </conditionalFormatting>
  <conditionalFormatting sqref="I77">
    <cfRule type="cellIs" dxfId="977" priority="1305" stopIfTrue="1" operator="greaterThanOrEqual">
      <formula>70</formula>
    </cfRule>
  </conditionalFormatting>
  <conditionalFormatting sqref="I77">
    <cfRule type="cellIs" dxfId="976" priority="1306" stopIfTrue="1" operator="between">
      <formula>60</formula>
      <formula>69.999</formula>
    </cfRule>
  </conditionalFormatting>
  <conditionalFormatting sqref="I77">
    <cfRule type="cellIs" dxfId="975" priority="1307" stopIfTrue="1" operator="between">
      <formula>50</formula>
      <formula>59.999</formula>
    </cfRule>
  </conditionalFormatting>
  <conditionalFormatting sqref="I77">
    <cfRule type="cellIs" dxfId="974" priority="1308" stopIfTrue="1" operator="between">
      <formula>40</formula>
      <formula>49.999</formula>
    </cfRule>
  </conditionalFormatting>
  <conditionalFormatting sqref="I77">
    <cfRule type="cellIs" dxfId="973" priority="1309" stopIfTrue="1" operator="lessThan">
      <formula>40</formula>
    </cfRule>
  </conditionalFormatting>
  <conditionalFormatting sqref="L77">
    <cfRule type="expression" dxfId="972" priority="1310" stopIfTrue="1">
      <formula>ISBLANK(L77)</formula>
    </cfRule>
  </conditionalFormatting>
  <conditionalFormatting sqref="L77">
    <cfRule type="cellIs" dxfId="971" priority="1311" stopIfTrue="1" operator="equal">
      <formula>"No grades yet"</formula>
    </cfRule>
  </conditionalFormatting>
  <conditionalFormatting sqref="L77">
    <cfRule type="cellIs" dxfId="970" priority="1312" stopIfTrue="1" operator="greaterThanOrEqual">
      <formula>70</formula>
    </cfRule>
  </conditionalFormatting>
  <conditionalFormatting sqref="L77">
    <cfRule type="cellIs" dxfId="969" priority="1313" stopIfTrue="1" operator="between">
      <formula>60</formula>
      <formula>69.999</formula>
    </cfRule>
  </conditionalFormatting>
  <conditionalFormatting sqref="L77">
    <cfRule type="cellIs" dxfId="968" priority="1314" stopIfTrue="1" operator="between">
      <formula>50</formula>
      <formula>59.999</formula>
    </cfRule>
  </conditionalFormatting>
  <conditionalFormatting sqref="L77">
    <cfRule type="cellIs" dxfId="967" priority="1315" stopIfTrue="1" operator="between">
      <formula>40</formula>
      <formula>49.999</formula>
    </cfRule>
  </conditionalFormatting>
  <conditionalFormatting sqref="L77">
    <cfRule type="cellIs" dxfId="966" priority="1316" stopIfTrue="1" operator="lessThan">
      <formula>40</formula>
    </cfRule>
  </conditionalFormatting>
  <conditionalFormatting sqref="I78">
    <cfRule type="expression" dxfId="965" priority="1317" stopIfTrue="1">
      <formula>ISBLANK(I78)</formula>
    </cfRule>
  </conditionalFormatting>
  <conditionalFormatting sqref="I78">
    <cfRule type="cellIs" dxfId="964" priority="1318" stopIfTrue="1" operator="equal">
      <formula>"No grades yet"</formula>
    </cfRule>
  </conditionalFormatting>
  <conditionalFormatting sqref="I78">
    <cfRule type="cellIs" dxfId="963" priority="1319" stopIfTrue="1" operator="greaterThanOrEqual">
      <formula>70</formula>
    </cfRule>
  </conditionalFormatting>
  <conditionalFormatting sqref="I78">
    <cfRule type="cellIs" dxfId="962" priority="1320" stopIfTrue="1" operator="between">
      <formula>60</formula>
      <formula>69.999</formula>
    </cfRule>
  </conditionalFormatting>
  <conditionalFormatting sqref="I78">
    <cfRule type="cellIs" dxfId="961" priority="1321" stopIfTrue="1" operator="between">
      <formula>50</formula>
      <formula>59.999</formula>
    </cfRule>
  </conditionalFormatting>
  <conditionalFormatting sqref="I78">
    <cfRule type="cellIs" dxfId="960" priority="1322" stopIfTrue="1" operator="between">
      <formula>40</formula>
      <formula>49.999</formula>
    </cfRule>
  </conditionalFormatting>
  <conditionalFormatting sqref="I78">
    <cfRule type="cellIs" dxfId="959" priority="1323" stopIfTrue="1" operator="lessThan">
      <formula>40</formula>
    </cfRule>
  </conditionalFormatting>
  <conditionalFormatting sqref="L78">
    <cfRule type="expression" dxfId="958" priority="1324" stopIfTrue="1">
      <formula>ISBLANK(L78)</formula>
    </cfRule>
  </conditionalFormatting>
  <conditionalFormatting sqref="L78">
    <cfRule type="cellIs" dxfId="957" priority="1325" stopIfTrue="1" operator="equal">
      <formula>"No grades yet"</formula>
    </cfRule>
  </conditionalFormatting>
  <conditionalFormatting sqref="L78">
    <cfRule type="cellIs" dxfId="956" priority="1326" stopIfTrue="1" operator="greaterThanOrEqual">
      <formula>70</formula>
    </cfRule>
  </conditionalFormatting>
  <conditionalFormatting sqref="L78">
    <cfRule type="cellIs" dxfId="955" priority="1327" stopIfTrue="1" operator="between">
      <formula>60</formula>
      <formula>69.999</formula>
    </cfRule>
  </conditionalFormatting>
  <conditionalFormatting sqref="L78">
    <cfRule type="cellIs" dxfId="954" priority="1328" stopIfTrue="1" operator="between">
      <formula>50</formula>
      <formula>59.999</formula>
    </cfRule>
  </conditionalFormatting>
  <conditionalFormatting sqref="L78">
    <cfRule type="cellIs" dxfId="953" priority="1329" stopIfTrue="1" operator="between">
      <formula>40</formula>
      <formula>49.999</formula>
    </cfRule>
  </conditionalFormatting>
  <conditionalFormatting sqref="L78">
    <cfRule type="cellIs" dxfId="952" priority="1330" stopIfTrue="1" operator="lessThan">
      <formula>40</formula>
    </cfRule>
  </conditionalFormatting>
  <conditionalFormatting sqref="I79">
    <cfRule type="expression" dxfId="951" priority="1331" stopIfTrue="1">
      <formula>ISBLANK(I79)</formula>
    </cfRule>
  </conditionalFormatting>
  <conditionalFormatting sqref="I79">
    <cfRule type="cellIs" dxfId="950" priority="1332" stopIfTrue="1" operator="equal">
      <formula>"No grades yet"</formula>
    </cfRule>
  </conditionalFormatting>
  <conditionalFormatting sqref="I79">
    <cfRule type="cellIs" dxfId="949" priority="1333" stopIfTrue="1" operator="greaterThanOrEqual">
      <formula>70</formula>
    </cfRule>
  </conditionalFormatting>
  <conditionalFormatting sqref="I79">
    <cfRule type="cellIs" dxfId="948" priority="1334" stopIfTrue="1" operator="between">
      <formula>60</formula>
      <formula>69.999</formula>
    </cfRule>
  </conditionalFormatting>
  <conditionalFormatting sqref="I79">
    <cfRule type="cellIs" dxfId="947" priority="1335" stopIfTrue="1" operator="between">
      <formula>50</formula>
      <formula>59.999</formula>
    </cfRule>
  </conditionalFormatting>
  <conditionalFormatting sqref="I79">
    <cfRule type="cellIs" dxfId="946" priority="1336" stopIfTrue="1" operator="between">
      <formula>40</formula>
      <formula>49.999</formula>
    </cfRule>
  </conditionalFormatting>
  <conditionalFormatting sqref="I79">
    <cfRule type="cellIs" dxfId="945" priority="1337" stopIfTrue="1" operator="lessThan">
      <formula>40</formula>
    </cfRule>
  </conditionalFormatting>
  <conditionalFormatting sqref="L79">
    <cfRule type="expression" dxfId="944" priority="1338" stopIfTrue="1">
      <formula>ISBLANK(L79)</formula>
    </cfRule>
  </conditionalFormatting>
  <conditionalFormatting sqref="L79">
    <cfRule type="cellIs" dxfId="943" priority="1339" stopIfTrue="1" operator="equal">
      <formula>"No grades yet"</formula>
    </cfRule>
  </conditionalFormatting>
  <conditionalFormatting sqref="L79">
    <cfRule type="cellIs" dxfId="942" priority="1340" stopIfTrue="1" operator="greaterThanOrEqual">
      <formula>70</formula>
    </cfRule>
  </conditionalFormatting>
  <conditionalFormatting sqref="L79">
    <cfRule type="cellIs" dxfId="941" priority="1341" stopIfTrue="1" operator="between">
      <formula>60</formula>
      <formula>69.999</formula>
    </cfRule>
  </conditionalFormatting>
  <conditionalFormatting sqref="L79">
    <cfRule type="cellIs" dxfId="940" priority="1342" stopIfTrue="1" operator="between">
      <formula>50</formula>
      <formula>59.999</formula>
    </cfRule>
  </conditionalFormatting>
  <conditionalFormatting sqref="L79">
    <cfRule type="cellIs" dxfId="939" priority="1343" stopIfTrue="1" operator="between">
      <formula>40</formula>
      <formula>49.999</formula>
    </cfRule>
  </conditionalFormatting>
  <conditionalFormatting sqref="L79">
    <cfRule type="cellIs" dxfId="938" priority="1344" stopIfTrue="1" operator="lessThan">
      <formula>40</formula>
    </cfRule>
  </conditionalFormatting>
  <conditionalFormatting sqref="I80">
    <cfRule type="expression" dxfId="937" priority="1345" stopIfTrue="1">
      <formula>ISBLANK(I80)</formula>
    </cfRule>
  </conditionalFormatting>
  <conditionalFormatting sqref="I80">
    <cfRule type="cellIs" dxfId="936" priority="1346" stopIfTrue="1" operator="equal">
      <formula>"No grades yet"</formula>
    </cfRule>
  </conditionalFormatting>
  <conditionalFormatting sqref="I80">
    <cfRule type="cellIs" dxfId="935" priority="1347" stopIfTrue="1" operator="greaterThanOrEqual">
      <formula>70</formula>
    </cfRule>
  </conditionalFormatting>
  <conditionalFormatting sqref="I80">
    <cfRule type="cellIs" dxfId="934" priority="1348" stopIfTrue="1" operator="between">
      <formula>60</formula>
      <formula>69.999</formula>
    </cfRule>
  </conditionalFormatting>
  <conditionalFormatting sqref="I80">
    <cfRule type="cellIs" dxfId="933" priority="1349" stopIfTrue="1" operator="between">
      <formula>50</formula>
      <formula>59.999</formula>
    </cfRule>
  </conditionalFormatting>
  <conditionalFormatting sqref="I80">
    <cfRule type="cellIs" dxfId="932" priority="1350" stopIfTrue="1" operator="between">
      <formula>40</formula>
      <formula>49.999</formula>
    </cfRule>
  </conditionalFormatting>
  <conditionalFormatting sqref="I80">
    <cfRule type="cellIs" dxfId="931" priority="1351" stopIfTrue="1" operator="lessThan">
      <formula>40</formula>
    </cfRule>
  </conditionalFormatting>
  <conditionalFormatting sqref="L80">
    <cfRule type="expression" dxfId="930" priority="1352" stopIfTrue="1">
      <formula>ISBLANK(L80)</formula>
    </cfRule>
  </conditionalFormatting>
  <conditionalFormatting sqref="L80">
    <cfRule type="cellIs" dxfId="929" priority="1353" stopIfTrue="1" operator="equal">
      <formula>"No grades yet"</formula>
    </cfRule>
  </conditionalFormatting>
  <conditionalFormatting sqref="L80">
    <cfRule type="cellIs" dxfId="928" priority="1354" stopIfTrue="1" operator="greaterThanOrEqual">
      <formula>70</formula>
    </cfRule>
  </conditionalFormatting>
  <conditionalFormatting sqref="L80">
    <cfRule type="cellIs" dxfId="927" priority="1355" stopIfTrue="1" operator="between">
      <formula>60</formula>
      <formula>69.999</formula>
    </cfRule>
  </conditionalFormatting>
  <conditionalFormatting sqref="L80">
    <cfRule type="cellIs" dxfId="926" priority="1356" stopIfTrue="1" operator="between">
      <formula>50</formula>
      <formula>59.999</formula>
    </cfRule>
  </conditionalFormatting>
  <conditionalFormatting sqref="L80">
    <cfRule type="cellIs" dxfId="925" priority="1357" stopIfTrue="1" operator="between">
      <formula>40</formula>
      <formula>49.999</formula>
    </cfRule>
  </conditionalFormatting>
  <conditionalFormatting sqref="L80">
    <cfRule type="cellIs" dxfId="924" priority="1358" stopIfTrue="1" operator="lessThan">
      <formula>40</formula>
    </cfRule>
  </conditionalFormatting>
  <conditionalFormatting sqref="I81">
    <cfRule type="expression" dxfId="923" priority="1359" stopIfTrue="1">
      <formula>ISBLANK(I81)</formula>
    </cfRule>
  </conditionalFormatting>
  <conditionalFormatting sqref="I81">
    <cfRule type="cellIs" dxfId="922" priority="1360" stopIfTrue="1" operator="equal">
      <formula>"No grades yet"</formula>
    </cfRule>
  </conditionalFormatting>
  <conditionalFormatting sqref="I81">
    <cfRule type="cellIs" dxfId="921" priority="1361" stopIfTrue="1" operator="greaterThanOrEqual">
      <formula>70</formula>
    </cfRule>
  </conditionalFormatting>
  <conditionalFormatting sqref="I81">
    <cfRule type="cellIs" dxfId="920" priority="1362" stopIfTrue="1" operator="between">
      <formula>60</formula>
      <formula>69.999</formula>
    </cfRule>
  </conditionalFormatting>
  <conditionalFormatting sqref="I81">
    <cfRule type="cellIs" dxfId="919" priority="1363" stopIfTrue="1" operator="between">
      <formula>50</formula>
      <formula>59.999</formula>
    </cfRule>
  </conditionalFormatting>
  <conditionalFormatting sqref="I81">
    <cfRule type="cellIs" dxfId="918" priority="1364" stopIfTrue="1" operator="between">
      <formula>40</formula>
      <formula>49.999</formula>
    </cfRule>
  </conditionalFormatting>
  <conditionalFormatting sqref="I81">
    <cfRule type="cellIs" dxfId="917" priority="1365" stopIfTrue="1" operator="lessThan">
      <formula>40</formula>
    </cfRule>
  </conditionalFormatting>
  <conditionalFormatting sqref="L81">
    <cfRule type="expression" dxfId="916" priority="1366" stopIfTrue="1">
      <formula>ISBLANK(L81)</formula>
    </cfRule>
  </conditionalFormatting>
  <conditionalFormatting sqref="L81">
    <cfRule type="cellIs" dxfId="915" priority="1367" stopIfTrue="1" operator="equal">
      <formula>"No grades yet"</formula>
    </cfRule>
  </conditionalFormatting>
  <conditionalFormatting sqref="L81">
    <cfRule type="cellIs" dxfId="914" priority="1368" stopIfTrue="1" operator="greaterThanOrEqual">
      <formula>70</formula>
    </cfRule>
  </conditionalFormatting>
  <conditionalFormatting sqref="L81">
    <cfRule type="cellIs" dxfId="913" priority="1369" stopIfTrue="1" operator="between">
      <formula>60</formula>
      <formula>69.999</formula>
    </cfRule>
  </conditionalFormatting>
  <conditionalFormatting sqref="L81">
    <cfRule type="cellIs" dxfId="912" priority="1370" stopIfTrue="1" operator="between">
      <formula>50</formula>
      <formula>59.999</formula>
    </cfRule>
  </conditionalFormatting>
  <conditionalFormatting sqref="L81">
    <cfRule type="cellIs" dxfId="911" priority="1371" stopIfTrue="1" operator="between">
      <formula>40</formula>
      <formula>49.999</formula>
    </cfRule>
  </conditionalFormatting>
  <conditionalFormatting sqref="L81">
    <cfRule type="cellIs" dxfId="910" priority="1372" stopIfTrue="1" operator="lessThan">
      <formula>40</formula>
    </cfRule>
  </conditionalFormatting>
  <conditionalFormatting sqref="I82">
    <cfRule type="expression" dxfId="909" priority="1373" stopIfTrue="1">
      <formula>ISBLANK(I82)</formula>
    </cfRule>
  </conditionalFormatting>
  <conditionalFormatting sqref="I82">
    <cfRule type="cellIs" dxfId="908" priority="1374" stopIfTrue="1" operator="equal">
      <formula>"No grades yet"</formula>
    </cfRule>
  </conditionalFormatting>
  <conditionalFormatting sqref="I82">
    <cfRule type="cellIs" dxfId="907" priority="1375" stopIfTrue="1" operator="greaterThanOrEqual">
      <formula>70</formula>
    </cfRule>
  </conditionalFormatting>
  <conditionalFormatting sqref="I82">
    <cfRule type="cellIs" dxfId="906" priority="1376" stopIfTrue="1" operator="between">
      <formula>60</formula>
      <formula>69.999</formula>
    </cfRule>
  </conditionalFormatting>
  <conditionalFormatting sqref="I82">
    <cfRule type="cellIs" dxfId="905" priority="1377" stopIfTrue="1" operator="between">
      <formula>50</formula>
      <formula>59.999</formula>
    </cfRule>
  </conditionalFormatting>
  <conditionalFormatting sqref="I82">
    <cfRule type="cellIs" dxfId="904" priority="1378" stopIfTrue="1" operator="between">
      <formula>40</formula>
      <formula>49.999</formula>
    </cfRule>
  </conditionalFormatting>
  <conditionalFormatting sqref="I82">
    <cfRule type="cellIs" dxfId="903" priority="1379" stopIfTrue="1" operator="lessThan">
      <formula>40</formula>
    </cfRule>
  </conditionalFormatting>
  <conditionalFormatting sqref="L82">
    <cfRule type="expression" dxfId="902" priority="1380" stopIfTrue="1">
      <formula>ISBLANK(L82)</formula>
    </cfRule>
  </conditionalFormatting>
  <conditionalFormatting sqref="L82">
    <cfRule type="cellIs" dxfId="901" priority="1381" stopIfTrue="1" operator="equal">
      <formula>"No grades yet"</formula>
    </cfRule>
  </conditionalFormatting>
  <conditionalFormatting sqref="L82">
    <cfRule type="cellIs" dxfId="900" priority="1382" stopIfTrue="1" operator="greaterThanOrEqual">
      <formula>70</formula>
    </cfRule>
  </conditionalFormatting>
  <conditionalFormatting sqref="L82">
    <cfRule type="cellIs" dxfId="899" priority="1383" stopIfTrue="1" operator="between">
      <formula>60</formula>
      <formula>69.999</formula>
    </cfRule>
  </conditionalFormatting>
  <conditionalFormatting sqref="L82">
    <cfRule type="cellIs" dxfId="898" priority="1384" stopIfTrue="1" operator="between">
      <formula>50</formula>
      <formula>59.999</formula>
    </cfRule>
  </conditionalFormatting>
  <conditionalFormatting sqref="L82">
    <cfRule type="cellIs" dxfId="897" priority="1385" stopIfTrue="1" operator="between">
      <formula>40</formula>
      <formula>49.999</formula>
    </cfRule>
  </conditionalFormatting>
  <conditionalFormatting sqref="L82">
    <cfRule type="cellIs" dxfId="896" priority="1386" stopIfTrue="1" operator="lessThan">
      <formula>40</formula>
    </cfRule>
  </conditionalFormatting>
  <conditionalFormatting sqref="I83">
    <cfRule type="expression" dxfId="895" priority="1387" stopIfTrue="1">
      <formula>ISBLANK(I83)</formula>
    </cfRule>
  </conditionalFormatting>
  <conditionalFormatting sqref="I83">
    <cfRule type="cellIs" dxfId="894" priority="1388" stopIfTrue="1" operator="equal">
      <formula>"No grades yet"</formula>
    </cfRule>
  </conditionalFormatting>
  <conditionalFormatting sqref="I83">
    <cfRule type="cellIs" dxfId="893" priority="1389" stopIfTrue="1" operator="greaterThanOrEqual">
      <formula>70</formula>
    </cfRule>
  </conditionalFormatting>
  <conditionalFormatting sqref="I83">
    <cfRule type="cellIs" dxfId="892" priority="1390" stopIfTrue="1" operator="between">
      <formula>60</formula>
      <formula>69.999</formula>
    </cfRule>
  </conditionalFormatting>
  <conditionalFormatting sqref="I83">
    <cfRule type="cellIs" dxfId="891" priority="1391" stopIfTrue="1" operator="between">
      <formula>50</formula>
      <formula>59.999</formula>
    </cfRule>
  </conditionalFormatting>
  <conditionalFormatting sqref="I83">
    <cfRule type="cellIs" dxfId="890" priority="1392" stopIfTrue="1" operator="between">
      <formula>40</formula>
      <formula>49.999</formula>
    </cfRule>
  </conditionalFormatting>
  <conditionalFormatting sqref="I83">
    <cfRule type="cellIs" dxfId="889" priority="1393" stopIfTrue="1" operator="lessThan">
      <formula>40</formula>
    </cfRule>
  </conditionalFormatting>
  <conditionalFormatting sqref="L83">
    <cfRule type="expression" dxfId="888" priority="1394" stopIfTrue="1">
      <formula>ISBLANK(L83)</formula>
    </cfRule>
  </conditionalFormatting>
  <conditionalFormatting sqref="L83">
    <cfRule type="cellIs" dxfId="887" priority="1395" stopIfTrue="1" operator="equal">
      <formula>"No grades yet"</formula>
    </cfRule>
  </conditionalFormatting>
  <conditionalFormatting sqref="L83">
    <cfRule type="cellIs" dxfId="886" priority="1396" stopIfTrue="1" operator="greaterThanOrEqual">
      <formula>70</formula>
    </cfRule>
  </conditionalFormatting>
  <conditionalFormatting sqref="L83">
    <cfRule type="cellIs" dxfId="885" priority="1397" stopIfTrue="1" operator="between">
      <formula>60</formula>
      <formula>69.999</formula>
    </cfRule>
  </conditionalFormatting>
  <conditionalFormatting sqref="L83">
    <cfRule type="cellIs" dxfId="884" priority="1398" stopIfTrue="1" operator="between">
      <formula>50</formula>
      <formula>59.999</formula>
    </cfRule>
  </conditionalFormatting>
  <conditionalFormatting sqref="L83">
    <cfRule type="cellIs" dxfId="883" priority="1399" stopIfTrue="1" operator="between">
      <formula>40</formula>
      <formula>49.999</formula>
    </cfRule>
  </conditionalFormatting>
  <conditionalFormatting sqref="L83">
    <cfRule type="cellIs" dxfId="882" priority="1400" stopIfTrue="1" operator="lessThan">
      <formula>40</formula>
    </cfRule>
  </conditionalFormatting>
  <conditionalFormatting sqref="I84">
    <cfRule type="expression" dxfId="881" priority="1401" stopIfTrue="1">
      <formula>ISBLANK(I84)</formula>
    </cfRule>
  </conditionalFormatting>
  <conditionalFormatting sqref="I84">
    <cfRule type="cellIs" dxfId="880" priority="1402" stopIfTrue="1" operator="equal">
      <formula>"No grades yet"</formula>
    </cfRule>
  </conditionalFormatting>
  <conditionalFormatting sqref="I84">
    <cfRule type="cellIs" dxfId="879" priority="1403" stopIfTrue="1" operator="greaterThanOrEqual">
      <formula>70</formula>
    </cfRule>
  </conditionalFormatting>
  <conditionalFormatting sqref="I84">
    <cfRule type="cellIs" dxfId="878" priority="1404" stopIfTrue="1" operator="between">
      <formula>60</formula>
      <formula>69.999</formula>
    </cfRule>
  </conditionalFormatting>
  <conditionalFormatting sqref="I84">
    <cfRule type="cellIs" dxfId="877" priority="1405" stopIfTrue="1" operator="between">
      <formula>50</formula>
      <formula>59.999</formula>
    </cfRule>
  </conditionalFormatting>
  <conditionalFormatting sqref="I84">
    <cfRule type="cellIs" dxfId="876" priority="1406" stopIfTrue="1" operator="between">
      <formula>40</formula>
      <formula>49.999</formula>
    </cfRule>
  </conditionalFormatting>
  <conditionalFormatting sqref="I84">
    <cfRule type="cellIs" dxfId="875" priority="1407" stopIfTrue="1" operator="lessThan">
      <formula>40</formula>
    </cfRule>
  </conditionalFormatting>
  <conditionalFormatting sqref="L84">
    <cfRule type="expression" dxfId="874" priority="1408" stopIfTrue="1">
      <formula>ISBLANK(L84)</formula>
    </cfRule>
  </conditionalFormatting>
  <conditionalFormatting sqref="L84">
    <cfRule type="cellIs" dxfId="873" priority="1409" stopIfTrue="1" operator="equal">
      <formula>"No grades yet"</formula>
    </cfRule>
  </conditionalFormatting>
  <conditionalFormatting sqref="L84">
    <cfRule type="cellIs" dxfId="872" priority="1410" stopIfTrue="1" operator="greaterThanOrEqual">
      <formula>70</formula>
    </cfRule>
  </conditionalFormatting>
  <conditionalFormatting sqref="L84">
    <cfRule type="cellIs" dxfId="871" priority="1411" stopIfTrue="1" operator="between">
      <formula>60</formula>
      <formula>69.999</formula>
    </cfRule>
  </conditionalFormatting>
  <conditionalFormatting sqref="L84">
    <cfRule type="cellIs" dxfId="870" priority="1412" stopIfTrue="1" operator="between">
      <formula>50</formula>
      <formula>59.999</formula>
    </cfRule>
  </conditionalFormatting>
  <conditionalFormatting sqref="L84">
    <cfRule type="cellIs" dxfId="869" priority="1413" stopIfTrue="1" operator="between">
      <formula>40</formula>
      <formula>49.999</formula>
    </cfRule>
  </conditionalFormatting>
  <conditionalFormatting sqref="L84">
    <cfRule type="cellIs" dxfId="868" priority="1414" stopIfTrue="1" operator="lessThan">
      <formula>40</formula>
    </cfRule>
  </conditionalFormatting>
  <conditionalFormatting sqref="I85">
    <cfRule type="expression" dxfId="867" priority="1415" stopIfTrue="1">
      <formula>ISBLANK(I85)</formula>
    </cfRule>
  </conditionalFormatting>
  <conditionalFormatting sqref="I85">
    <cfRule type="cellIs" dxfId="866" priority="1416" stopIfTrue="1" operator="equal">
      <formula>"No grades yet"</formula>
    </cfRule>
  </conditionalFormatting>
  <conditionalFormatting sqref="I85">
    <cfRule type="cellIs" dxfId="865" priority="1417" stopIfTrue="1" operator="greaterThanOrEqual">
      <formula>70</formula>
    </cfRule>
  </conditionalFormatting>
  <conditionalFormatting sqref="I85">
    <cfRule type="cellIs" dxfId="864" priority="1418" stopIfTrue="1" operator="between">
      <formula>60</formula>
      <formula>69.999</formula>
    </cfRule>
  </conditionalFormatting>
  <conditionalFormatting sqref="I85">
    <cfRule type="cellIs" dxfId="863" priority="1419" stopIfTrue="1" operator="between">
      <formula>50</formula>
      <formula>59.999</formula>
    </cfRule>
  </conditionalFormatting>
  <conditionalFormatting sqref="I85">
    <cfRule type="cellIs" dxfId="862" priority="1420" stopIfTrue="1" operator="between">
      <formula>40</formula>
      <formula>49.999</formula>
    </cfRule>
  </conditionalFormatting>
  <conditionalFormatting sqref="I85">
    <cfRule type="cellIs" dxfId="861" priority="1421" stopIfTrue="1" operator="lessThan">
      <formula>40</formula>
    </cfRule>
  </conditionalFormatting>
  <conditionalFormatting sqref="L85">
    <cfRule type="expression" dxfId="860" priority="1422" stopIfTrue="1">
      <formula>ISBLANK(L85)</formula>
    </cfRule>
  </conditionalFormatting>
  <conditionalFormatting sqref="L85">
    <cfRule type="cellIs" dxfId="859" priority="1423" stopIfTrue="1" operator="equal">
      <formula>"No grades yet"</formula>
    </cfRule>
  </conditionalFormatting>
  <conditionalFormatting sqref="L85">
    <cfRule type="cellIs" dxfId="858" priority="1424" stopIfTrue="1" operator="greaterThanOrEqual">
      <formula>70</formula>
    </cfRule>
  </conditionalFormatting>
  <conditionalFormatting sqref="L85">
    <cfRule type="cellIs" dxfId="857" priority="1425" stopIfTrue="1" operator="between">
      <formula>60</formula>
      <formula>69.999</formula>
    </cfRule>
  </conditionalFormatting>
  <conditionalFormatting sqref="L85">
    <cfRule type="cellIs" dxfId="856" priority="1426" stopIfTrue="1" operator="between">
      <formula>50</formula>
      <formula>59.999</formula>
    </cfRule>
  </conditionalFormatting>
  <conditionalFormatting sqref="L85">
    <cfRule type="cellIs" dxfId="855" priority="1427" stopIfTrue="1" operator="between">
      <formula>40</formula>
      <formula>49.999</formula>
    </cfRule>
  </conditionalFormatting>
  <conditionalFormatting sqref="L85">
    <cfRule type="cellIs" dxfId="854" priority="1428" stopIfTrue="1" operator="lessThan">
      <formula>40</formula>
    </cfRule>
  </conditionalFormatting>
  <conditionalFormatting sqref="I86">
    <cfRule type="expression" dxfId="853" priority="1429" stopIfTrue="1">
      <formula>ISBLANK(I86)</formula>
    </cfRule>
  </conditionalFormatting>
  <conditionalFormatting sqref="I86">
    <cfRule type="cellIs" dxfId="852" priority="1430" stopIfTrue="1" operator="equal">
      <formula>"No grades yet"</formula>
    </cfRule>
  </conditionalFormatting>
  <conditionalFormatting sqref="I86">
    <cfRule type="cellIs" dxfId="851" priority="1431" stopIfTrue="1" operator="greaterThanOrEqual">
      <formula>70</formula>
    </cfRule>
  </conditionalFormatting>
  <conditionalFormatting sqref="I86">
    <cfRule type="cellIs" dxfId="850" priority="1432" stopIfTrue="1" operator="between">
      <formula>60</formula>
      <formula>69.999</formula>
    </cfRule>
  </conditionalFormatting>
  <conditionalFormatting sqref="I86">
    <cfRule type="cellIs" dxfId="849" priority="1433" stopIfTrue="1" operator="between">
      <formula>50</formula>
      <formula>59.999</formula>
    </cfRule>
  </conditionalFormatting>
  <conditionalFormatting sqref="I86">
    <cfRule type="cellIs" dxfId="848" priority="1434" stopIfTrue="1" operator="between">
      <formula>40</formula>
      <formula>49.999</formula>
    </cfRule>
  </conditionalFormatting>
  <conditionalFormatting sqref="I86">
    <cfRule type="cellIs" dxfId="847" priority="1435" stopIfTrue="1" operator="lessThan">
      <formula>40</formula>
    </cfRule>
  </conditionalFormatting>
  <conditionalFormatting sqref="L86">
    <cfRule type="expression" dxfId="846" priority="1436" stopIfTrue="1">
      <formula>ISBLANK(L86)</formula>
    </cfRule>
  </conditionalFormatting>
  <conditionalFormatting sqref="L86">
    <cfRule type="cellIs" dxfId="845" priority="1437" stopIfTrue="1" operator="equal">
      <formula>"No grades yet"</formula>
    </cfRule>
  </conditionalFormatting>
  <conditionalFormatting sqref="L86">
    <cfRule type="cellIs" dxfId="844" priority="1438" stopIfTrue="1" operator="greaterThanOrEqual">
      <formula>70</formula>
    </cfRule>
  </conditionalFormatting>
  <conditionalFormatting sqref="L86">
    <cfRule type="cellIs" dxfId="843" priority="1439" stopIfTrue="1" operator="between">
      <formula>60</formula>
      <formula>69.999</formula>
    </cfRule>
  </conditionalFormatting>
  <conditionalFormatting sqref="L86">
    <cfRule type="cellIs" dxfId="842" priority="1440" stopIfTrue="1" operator="between">
      <formula>50</formula>
      <formula>59.999</formula>
    </cfRule>
  </conditionalFormatting>
  <conditionalFormatting sqref="L86">
    <cfRule type="cellIs" dxfId="841" priority="1441" stopIfTrue="1" operator="between">
      <formula>40</formula>
      <formula>49.999</formula>
    </cfRule>
  </conditionalFormatting>
  <conditionalFormatting sqref="L86">
    <cfRule type="cellIs" dxfId="840" priority="1442" stopIfTrue="1" operator="lessThan">
      <formula>40</formula>
    </cfRule>
  </conditionalFormatting>
  <conditionalFormatting sqref="I90">
    <cfRule type="expression" dxfId="839" priority="1443" stopIfTrue="1">
      <formula>ISBLANK(I90)</formula>
    </cfRule>
  </conditionalFormatting>
  <conditionalFormatting sqref="I90">
    <cfRule type="cellIs" dxfId="838" priority="1444" stopIfTrue="1" operator="equal">
      <formula>"No grades yet"</formula>
    </cfRule>
  </conditionalFormatting>
  <conditionalFormatting sqref="I90">
    <cfRule type="cellIs" dxfId="837" priority="1445" stopIfTrue="1" operator="greaterThanOrEqual">
      <formula>70</formula>
    </cfRule>
  </conditionalFormatting>
  <conditionalFormatting sqref="I90">
    <cfRule type="cellIs" dxfId="836" priority="1446" stopIfTrue="1" operator="between">
      <formula>60</formula>
      <formula>69.999</formula>
    </cfRule>
  </conditionalFormatting>
  <conditionalFormatting sqref="I90">
    <cfRule type="cellIs" dxfId="835" priority="1447" stopIfTrue="1" operator="between">
      <formula>50</formula>
      <formula>59.999</formula>
    </cfRule>
  </conditionalFormatting>
  <conditionalFormatting sqref="I90">
    <cfRule type="cellIs" dxfId="834" priority="1448" stopIfTrue="1" operator="between">
      <formula>40</formula>
      <formula>49.999</formula>
    </cfRule>
  </conditionalFormatting>
  <conditionalFormatting sqref="I90">
    <cfRule type="cellIs" dxfId="833" priority="1449" stopIfTrue="1" operator="lessThan">
      <formula>40</formula>
    </cfRule>
  </conditionalFormatting>
  <conditionalFormatting sqref="L90">
    <cfRule type="expression" dxfId="832" priority="1450" stopIfTrue="1">
      <formula>ISBLANK(L90)</formula>
    </cfRule>
  </conditionalFormatting>
  <conditionalFormatting sqref="L90">
    <cfRule type="cellIs" dxfId="831" priority="1451" stopIfTrue="1" operator="equal">
      <formula>"No grades yet"</formula>
    </cfRule>
  </conditionalFormatting>
  <conditionalFormatting sqref="L90">
    <cfRule type="cellIs" dxfId="830" priority="1452" stopIfTrue="1" operator="greaterThanOrEqual">
      <formula>70</formula>
    </cfRule>
  </conditionalFormatting>
  <conditionalFormatting sqref="L90">
    <cfRule type="cellIs" dxfId="829" priority="1453" stopIfTrue="1" operator="between">
      <formula>60</formula>
      <formula>69.999</formula>
    </cfRule>
  </conditionalFormatting>
  <conditionalFormatting sqref="L90">
    <cfRule type="cellIs" dxfId="828" priority="1454" stopIfTrue="1" operator="between">
      <formula>50</formula>
      <formula>59.999</formula>
    </cfRule>
  </conditionalFormatting>
  <conditionalFormatting sqref="L90">
    <cfRule type="cellIs" dxfId="827" priority="1455" stopIfTrue="1" operator="between">
      <formula>40</formula>
      <formula>49.999</formula>
    </cfRule>
  </conditionalFormatting>
  <conditionalFormatting sqref="L90">
    <cfRule type="cellIs" dxfId="826" priority="1456" stopIfTrue="1" operator="lessThan">
      <formula>40</formula>
    </cfRule>
  </conditionalFormatting>
  <conditionalFormatting sqref="I91:I93">
    <cfRule type="expression" dxfId="825" priority="1457" stopIfTrue="1">
      <formula>ISBLANK(I91)</formula>
    </cfRule>
  </conditionalFormatting>
  <conditionalFormatting sqref="I91:I93">
    <cfRule type="cellIs" dxfId="824" priority="1458" stopIfTrue="1" operator="equal">
      <formula>"No grades yet"</formula>
    </cfRule>
  </conditionalFormatting>
  <conditionalFormatting sqref="I91:I93">
    <cfRule type="cellIs" dxfId="823" priority="1459" stopIfTrue="1" operator="greaterThanOrEqual">
      <formula>70</formula>
    </cfRule>
  </conditionalFormatting>
  <conditionalFormatting sqref="I91:I93">
    <cfRule type="cellIs" dxfId="822" priority="1460" stopIfTrue="1" operator="between">
      <formula>60</formula>
      <formula>69.999</formula>
    </cfRule>
  </conditionalFormatting>
  <conditionalFormatting sqref="I91:I93">
    <cfRule type="cellIs" dxfId="821" priority="1461" stopIfTrue="1" operator="between">
      <formula>50</formula>
      <formula>59.999</formula>
    </cfRule>
  </conditionalFormatting>
  <conditionalFormatting sqref="I91:I93">
    <cfRule type="cellIs" dxfId="820" priority="1462" stopIfTrue="1" operator="between">
      <formula>40</formula>
      <formula>49.999</formula>
    </cfRule>
  </conditionalFormatting>
  <conditionalFormatting sqref="I91:I93">
    <cfRule type="cellIs" dxfId="819" priority="1463" stopIfTrue="1" operator="lessThan">
      <formula>40</formula>
    </cfRule>
  </conditionalFormatting>
  <conditionalFormatting sqref="L91:L93">
    <cfRule type="expression" dxfId="818" priority="1464" stopIfTrue="1">
      <formula>ISBLANK(L91)</formula>
    </cfRule>
  </conditionalFormatting>
  <conditionalFormatting sqref="L91:L93">
    <cfRule type="cellIs" dxfId="817" priority="1465" stopIfTrue="1" operator="equal">
      <formula>"No grades yet"</formula>
    </cfRule>
  </conditionalFormatting>
  <conditionalFormatting sqref="L91:L93">
    <cfRule type="cellIs" dxfId="816" priority="1466" stopIfTrue="1" operator="greaterThanOrEqual">
      <formula>70</formula>
    </cfRule>
  </conditionalFormatting>
  <conditionalFormatting sqref="L91:L93">
    <cfRule type="cellIs" dxfId="815" priority="1467" stopIfTrue="1" operator="between">
      <formula>60</formula>
      <formula>69.999</formula>
    </cfRule>
  </conditionalFormatting>
  <conditionalFormatting sqref="L91:L93">
    <cfRule type="cellIs" dxfId="814" priority="1468" stopIfTrue="1" operator="between">
      <formula>50</formula>
      <formula>59.999</formula>
    </cfRule>
  </conditionalFormatting>
  <conditionalFormatting sqref="L91:L93">
    <cfRule type="cellIs" dxfId="813" priority="1469" stopIfTrue="1" operator="between">
      <formula>40</formula>
      <formula>49.999</formula>
    </cfRule>
  </conditionalFormatting>
  <conditionalFormatting sqref="L91:L93">
    <cfRule type="cellIs" dxfId="812" priority="1470" stopIfTrue="1" operator="lessThan">
      <formula>40</formula>
    </cfRule>
  </conditionalFormatting>
  <conditionalFormatting sqref="I94">
    <cfRule type="expression" dxfId="811" priority="1471" stopIfTrue="1">
      <formula>ISBLANK(I94)</formula>
    </cfRule>
  </conditionalFormatting>
  <conditionalFormatting sqref="I94">
    <cfRule type="cellIs" dxfId="810" priority="1472" stopIfTrue="1" operator="equal">
      <formula>"No grades yet"</formula>
    </cfRule>
  </conditionalFormatting>
  <conditionalFormatting sqref="I94">
    <cfRule type="cellIs" dxfId="809" priority="1473" stopIfTrue="1" operator="greaterThanOrEqual">
      <formula>70</formula>
    </cfRule>
  </conditionalFormatting>
  <conditionalFormatting sqref="I94">
    <cfRule type="cellIs" dxfId="808" priority="1474" stopIfTrue="1" operator="between">
      <formula>60</formula>
      <formula>69.999</formula>
    </cfRule>
  </conditionalFormatting>
  <conditionalFormatting sqref="I94">
    <cfRule type="cellIs" dxfId="807" priority="1475" stopIfTrue="1" operator="between">
      <formula>50</formula>
      <formula>59.999</formula>
    </cfRule>
  </conditionalFormatting>
  <conditionalFormatting sqref="I94">
    <cfRule type="cellIs" dxfId="806" priority="1476" stopIfTrue="1" operator="between">
      <formula>40</formula>
      <formula>49.999</formula>
    </cfRule>
  </conditionalFormatting>
  <conditionalFormatting sqref="I94">
    <cfRule type="cellIs" dxfId="805" priority="1477" stopIfTrue="1" operator="lessThan">
      <formula>40</formula>
    </cfRule>
  </conditionalFormatting>
  <conditionalFormatting sqref="L94">
    <cfRule type="expression" dxfId="804" priority="1478" stopIfTrue="1">
      <formula>ISBLANK(L94)</formula>
    </cfRule>
  </conditionalFormatting>
  <conditionalFormatting sqref="L94">
    <cfRule type="cellIs" dxfId="803" priority="1479" stopIfTrue="1" operator="equal">
      <formula>"No grades yet"</formula>
    </cfRule>
  </conditionalFormatting>
  <conditionalFormatting sqref="L94">
    <cfRule type="cellIs" dxfId="802" priority="1480" stopIfTrue="1" operator="greaterThanOrEqual">
      <formula>70</formula>
    </cfRule>
  </conditionalFormatting>
  <conditionalFormatting sqref="L94">
    <cfRule type="cellIs" dxfId="801" priority="1481" stopIfTrue="1" operator="between">
      <formula>60</formula>
      <formula>69.999</formula>
    </cfRule>
  </conditionalFormatting>
  <conditionalFormatting sqref="L94">
    <cfRule type="cellIs" dxfId="800" priority="1482" stopIfTrue="1" operator="between">
      <formula>50</formula>
      <formula>59.999</formula>
    </cfRule>
  </conditionalFormatting>
  <conditionalFormatting sqref="L94">
    <cfRule type="cellIs" dxfId="799" priority="1483" stopIfTrue="1" operator="between">
      <formula>40</formula>
      <formula>49.999</formula>
    </cfRule>
  </conditionalFormatting>
  <conditionalFormatting sqref="L94">
    <cfRule type="cellIs" dxfId="798" priority="1484" stopIfTrue="1" operator="lessThan">
      <formula>40</formula>
    </cfRule>
  </conditionalFormatting>
  <conditionalFormatting sqref="I95">
    <cfRule type="expression" dxfId="797" priority="1485" stopIfTrue="1">
      <formula>ISBLANK(I95)</formula>
    </cfRule>
  </conditionalFormatting>
  <conditionalFormatting sqref="I95">
    <cfRule type="cellIs" dxfId="796" priority="1486" stopIfTrue="1" operator="equal">
      <formula>"No grades yet"</formula>
    </cfRule>
  </conditionalFormatting>
  <conditionalFormatting sqref="I95">
    <cfRule type="cellIs" dxfId="795" priority="1487" stopIfTrue="1" operator="greaterThanOrEqual">
      <formula>70</formula>
    </cfRule>
  </conditionalFormatting>
  <conditionalFormatting sqref="I95">
    <cfRule type="cellIs" dxfId="794" priority="1488" stopIfTrue="1" operator="between">
      <formula>60</formula>
      <formula>69.999</formula>
    </cfRule>
  </conditionalFormatting>
  <conditionalFormatting sqref="I95">
    <cfRule type="cellIs" dxfId="793" priority="1489" stopIfTrue="1" operator="between">
      <formula>50</formula>
      <formula>59.999</formula>
    </cfRule>
  </conditionalFormatting>
  <conditionalFormatting sqref="I95">
    <cfRule type="cellIs" dxfId="792" priority="1490" stopIfTrue="1" operator="between">
      <formula>40</formula>
      <formula>49.999</formula>
    </cfRule>
  </conditionalFormatting>
  <conditionalFormatting sqref="I95">
    <cfRule type="cellIs" dxfId="791" priority="1491" stopIfTrue="1" operator="lessThan">
      <formula>40</formula>
    </cfRule>
  </conditionalFormatting>
  <conditionalFormatting sqref="L95">
    <cfRule type="expression" dxfId="790" priority="1492" stopIfTrue="1">
      <formula>ISBLANK(L95)</formula>
    </cfRule>
  </conditionalFormatting>
  <conditionalFormatting sqref="L95">
    <cfRule type="cellIs" dxfId="789" priority="1493" stopIfTrue="1" operator="equal">
      <formula>"No grades yet"</formula>
    </cfRule>
  </conditionalFormatting>
  <conditionalFormatting sqref="L95">
    <cfRule type="cellIs" dxfId="788" priority="1494" stopIfTrue="1" operator="greaterThanOrEqual">
      <formula>70</formula>
    </cfRule>
  </conditionalFormatting>
  <conditionalFormatting sqref="L95">
    <cfRule type="cellIs" dxfId="787" priority="1495" stopIfTrue="1" operator="between">
      <formula>60</formula>
      <formula>69.999</formula>
    </cfRule>
  </conditionalFormatting>
  <conditionalFormatting sqref="L95">
    <cfRule type="cellIs" dxfId="786" priority="1496" stopIfTrue="1" operator="between">
      <formula>50</formula>
      <formula>59.999</formula>
    </cfRule>
  </conditionalFormatting>
  <conditionalFormatting sqref="L95">
    <cfRule type="cellIs" dxfId="785" priority="1497" stopIfTrue="1" operator="between">
      <formula>40</formula>
      <formula>49.999</formula>
    </cfRule>
  </conditionalFormatting>
  <conditionalFormatting sqref="L95">
    <cfRule type="cellIs" dxfId="784" priority="1498" stopIfTrue="1" operator="lessThan">
      <formula>40</formula>
    </cfRule>
  </conditionalFormatting>
  <conditionalFormatting sqref="I96">
    <cfRule type="expression" dxfId="783" priority="1499" stopIfTrue="1">
      <formula>ISBLANK(I96)</formula>
    </cfRule>
  </conditionalFormatting>
  <conditionalFormatting sqref="I96">
    <cfRule type="cellIs" dxfId="782" priority="1500" stopIfTrue="1" operator="equal">
      <formula>"No grades yet"</formula>
    </cfRule>
  </conditionalFormatting>
  <conditionalFormatting sqref="I96">
    <cfRule type="cellIs" dxfId="781" priority="1501" stopIfTrue="1" operator="greaterThanOrEqual">
      <formula>70</formula>
    </cfRule>
  </conditionalFormatting>
  <conditionalFormatting sqref="I96">
    <cfRule type="cellIs" dxfId="780" priority="1502" stopIfTrue="1" operator="between">
      <formula>60</formula>
      <formula>69.999</formula>
    </cfRule>
  </conditionalFormatting>
  <conditionalFormatting sqref="I96">
    <cfRule type="cellIs" dxfId="779" priority="1503" stopIfTrue="1" operator="between">
      <formula>50</formula>
      <formula>59.999</formula>
    </cfRule>
  </conditionalFormatting>
  <conditionalFormatting sqref="I96">
    <cfRule type="cellIs" dxfId="778" priority="1504" stopIfTrue="1" operator="between">
      <formula>40</formula>
      <formula>49.999</formula>
    </cfRule>
  </conditionalFormatting>
  <conditionalFormatting sqref="I96">
    <cfRule type="cellIs" dxfId="777" priority="1505" stopIfTrue="1" operator="lessThan">
      <formula>40</formula>
    </cfRule>
  </conditionalFormatting>
  <conditionalFormatting sqref="L96">
    <cfRule type="expression" dxfId="776" priority="1506" stopIfTrue="1">
      <formula>ISBLANK(L96)</formula>
    </cfRule>
  </conditionalFormatting>
  <conditionalFormatting sqref="L96">
    <cfRule type="cellIs" dxfId="775" priority="1507" stopIfTrue="1" operator="equal">
      <formula>"No grades yet"</formula>
    </cfRule>
  </conditionalFormatting>
  <conditionalFormatting sqref="L96">
    <cfRule type="cellIs" dxfId="774" priority="1508" stopIfTrue="1" operator="greaterThanOrEqual">
      <formula>70</formula>
    </cfRule>
  </conditionalFormatting>
  <conditionalFormatting sqref="L96">
    <cfRule type="cellIs" dxfId="773" priority="1509" stopIfTrue="1" operator="between">
      <formula>60</formula>
      <formula>69.999</formula>
    </cfRule>
  </conditionalFormatting>
  <conditionalFormatting sqref="L96">
    <cfRule type="cellIs" dxfId="772" priority="1510" stopIfTrue="1" operator="between">
      <formula>50</formula>
      <formula>59.999</formula>
    </cfRule>
  </conditionalFormatting>
  <conditionalFormatting sqref="L96">
    <cfRule type="cellIs" dxfId="771" priority="1511" stopIfTrue="1" operator="between">
      <formula>40</formula>
      <formula>49.999</formula>
    </cfRule>
  </conditionalFormatting>
  <conditionalFormatting sqref="L96">
    <cfRule type="cellIs" dxfId="770" priority="1512" stopIfTrue="1" operator="lessThan">
      <formula>40</formula>
    </cfRule>
  </conditionalFormatting>
  <conditionalFormatting sqref="I97">
    <cfRule type="expression" dxfId="769" priority="1513" stopIfTrue="1">
      <formula>ISBLANK(I97)</formula>
    </cfRule>
  </conditionalFormatting>
  <conditionalFormatting sqref="I97">
    <cfRule type="cellIs" dxfId="768" priority="1514" stopIfTrue="1" operator="equal">
      <formula>"No grades yet"</formula>
    </cfRule>
  </conditionalFormatting>
  <conditionalFormatting sqref="I97">
    <cfRule type="cellIs" dxfId="767" priority="1515" stopIfTrue="1" operator="greaterThanOrEqual">
      <formula>70</formula>
    </cfRule>
  </conditionalFormatting>
  <conditionalFormatting sqref="I97">
    <cfRule type="cellIs" dxfId="766" priority="1516" stopIfTrue="1" operator="between">
      <formula>60</formula>
      <formula>69.999</formula>
    </cfRule>
  </conditionalFormatting>
  <conditionalFormatting sqref="I97">
    <cfRule type="cellIs" dxfId="765" priority="1517" stopIfTrue="1" operator="between">
      <formula>50</formula>
      <formula>59.999</formula>
    </cfRule>
  </conditionalFormatting>
  <conditionalFormatting sqref="I97">
    <cfRule type="cellIs" dxfId="764" priority="1518" stopIfTrue="1" operator="between">
      <formula>40</formula>
      <formula>49.999</formula>
    </cfRule>
  </conditionalFormatting>
  <conditionalFormatting sqref="I97">
    <cfRule type="cellIs" dxfId="763" priority="1519" stopIfTrue="1" operator="lessThan">
      <formula>40</formula>
    </cfRule>
  </conditionalFormatting>
  <conditionalFormatting sqref="L97">
    <cfRule type="expression" dxfId="762" priority="1520" stopIfTrue="1">
      <formula>ISBLANK(L97)</formula>
    </cfRule>
  </conditionalFormatting>
  <conditionalFormatting sqref="L97">
    <cfRule type="cellIs" dxfId="761" priority="1521" stopIfTrue="1" operator="equal">
      <formula>"No grades yet"</formula>
    </cfRule>
  </conditionalFormatting>
  <conditionalFormatting sqref="L97">
    <cfRule type="cellIs" dxfId="760" priority="1522" stopIfTrue="1" operator="greaterThanOrEqual">
      <formula>70</formula>
    </cfRule>
  </conditionalFormatting>
  <conditionalFormatting sqref="L97">
    <cfRule type="cellIs" dxfId="759" priority="1523" stopIfTrue="1" operator="between">
      <formula>60</formula>
      <formula>69.999</formula>
    </cfRule>
  </conditionalFormatting>
  <conditionalFormatting sqref="L97">
    <cfRule type="cellIs" dxfId="758" priority="1524" stopIfTrue="1" operator="between">
      <formula>50</formula>
      <formula>59.999</formula>
    </cfRule>
  </conditionalFormatting>
  <conditionalFormatting sqref="L97">
    <cfRule type="cellIs" dxfId="757" priority="1525" stopIfTrue="1" operator="between">
      <formula>40</formula>
      <formula>49.999</formula>
    </cfRule>
  </conditionalFormatting>
  <conditionalFormatting sqref="L97">
    <cfRule type="cellIs" dxfId="756" priority="1526" stopIfTrue="1" operator="lessThan">
      <formula>40</formula>
    </cfRule>
  </conditionalFormatting>
  <conditionalFormatting sqref="I98">
    <cfRule type="expression" dxfId="755" priority="1527" stopIfTrue="1">
      <formula>ISBLANK(I98)</formula>
    </cfRule>
  </conditionalFormatting>
  <conditionalFormatting sqref="I98">
    <cfRule type="cellIs" dxfId="754" priority="1528" stopIfTrue="1" operator="equal">
      <formula>"No grades yet"</formula>
    </cfRule>
  </conditionalFormatting>
  <conditionalFormatting sqref="I98">
    <cfRule type="cellIs" dxfId="753" priority="1529" stopIfTrue="1" operator="greaterThanOrEqual">
      <formula>70</formula>
    </cfRule>
  </conditionalFormatting>
  <conditionalFormatting sqref="I98">
    <cfRule type="cellIs" dxfId="752" priority="1530" stopIfTrue="1" operator="between">
      <formula>60</formula>
      <formula>69.999</formula>
    </cfRule>
  </conditionalFormatting>
  <conditionalFormatting sqref="I98">
    <cfRule type="cellIs" dxfId="751" priority="1531" stopIfTrue="1" operator="between">
      <formula>50</formula>
      <formula>59.999</formula>
    </cfRule>
  </conditionalFormatting>
  <conditionalFormatting sqref="I98">
    <cfRule type="cellIs" dxfId="750" priority="1532" stopIfTrue="1" operator="between">
      <formula>40</formula>
      <formula>49.999</formula>
    </cfRule>
  </conditionalFormatting>
  <conditionalFormatting sqref="I98">
    <cfRule type="cellIs" dxfId="749" priority="1533" stopIfTrue="1" operator="lessThan">
      <formula>40</formula>
    </cfRule>
  </conditionalFormatting>
  <conditionalFormatting sqref="L98">
    <cfRule type="expression" dxfId="748" priority="1534" stopIfTrue="1">
      <formula>ISBLANK(L98)</formula>
    </cfRule>
  </conditionalFormatting>
  <conditionalFormatting sqref="L98">
    <cfRule type="cellIs" dxfId="747" priority="1535" stopIfTrue="1" operator="equal">
      <formula>"No grades yet"</formula>
    </cfRule>
  </conditionalFormatting>
  <conditionalFormatting sqref="L98">
    <cfRule type="cellIs" dxfId="746" priority="1536" stopIfTrue="1" operator="greaterThanOrEqual">
      <formula>70</formula>
    </cfRule>
  </conditionalFormatting>
  <conditionalFormatting sqref="L98">
    <cfRule type="cellIs" dxfId="745" priority="1537" stopIfTrue="1" operator="between">
      <formula>60</formula>
      <formula>69.999</formula>
    </cfRule>
  </conditionalFormatting>
  <conditionalFormatting sqref="L98">
    <cfRule type="cellIs" dxfId="744" priority="1538" stopIfTrue="1" operator="between">
      <formula>50</formula>
      <formula>59.999</formula>
    </cfRule>
  </conditionalFormatting>
  <conditionalFormatting sqref="L98">
    <cfRule type="cellIs" dxfId="743" priority="1539" stopIfTrue="1" operator="between">
      <formula>40</formula>
      <formula>49.999</formula>
    </cfRule>
  </conditionalFormatting>
  <conditionalFormatting sqref="L98">
    <cfRule type="cellIs" dxfId="742" priority="1540" stopIfTrue="1" operator="lessThan">
      <formula>40</formula>
    </cfRule>
  </conditionalFormatting>
  <conditionalFormatting sqref="I99">
    <cfRule type="expression" dxfId="741" priority="1541" stopIfTrue="1">
      <formula>ISBLANK(I99)</formula>
    </cfRule>
  </conditionalFormatting>
  <conditionalFormatting sqref="I99">
    <cfRule type="cellIs" dxfId="740" priority="1542" stopIfTrue="1" operator="equal">
      <formula>"No grades yet"</formula>
    </cfRule>
  </conditionalFormatting>
  <conditionalFormatting sqref="I99">
    <cfRule type="cellIs" dxfId="739" priority="1543" stopIfTrue="1" operator="greaterThanOrEqual">
      <formula>70</formula>
    </cfRule>
  </conditionalFormatting>
  <conditionalFormatting sqref="I99">
    <cfRule type="cellIs" dxfId="738" priority="1544" stopIfTrue="1" operator="between">
      <formula>60</formula>
      <formula>69.999</formula>
    </cfRule>
  </conditionalFormatting>
  <conditionalFormatting sqref="I99">
    <cfRule type="cellIs" dxfId="737" priority="1545" stopIfTrue="1" operator="between">
      <formula>50</formula>
      <formula>59.999</formula>
    </cfRule>
  </conditionalFormatting>
  <conditionalFormatting sqref="I99">
    <cfRule type="cellIs" dxfId="736" priority="1546" stopIfTrue="1" operator="between">
      <formula>40</formula>
      <formula>49.999</formula>
    </cfRule>
  </conditionalFormatting>
  <conditionalFormatting sqref="I99">
    <cfRule type="cellIs" dxfId="735" priority="1547" stopIfTrue="1" operator="lessThan">
      <formula>40</formula>
    </cfRule>
  </conditionalFormatting>
  <conditionalFormatting sqref="L99">
    <cfRule type="expression" dxfId="734" priority="1548" stopIfTrue="1">
      <formula>ISBLANK(L99)</formula>
    </cfRule>
  </conditionalFormatting>
  <conditionalFormatting sqref="L99">
    <cfRule type="cellIs" dxfId="733" priority="1549" stopIfTrue="1" operator="equal">
      <formula>"No grades yet"</formula>
    </cfRule>
  </conditionalFormatting>
  <conditionalFormatting sqref="L99">
    <cfRule type="cellIs" dxfId="732" priority="1550" stopIfTrue="1" operator="greaterThanOrEqual">
      <formula>70</formula>
    </cfRule>
  </conditionalFormatting>
  <conditionalFormatting sqref="L99">
    <cfRule type="cellIs" dxfId="731" priority="1551" stopIfTrue="1" operator="between">
      <formula>60</formula>
      <formula>69.999</formula>
    </cfRule>
  </conditionalFormatting>
  <conditionalFormatting sqref="L99">
    <cfRule type="cellIs" dxfId="730" priority="1552" stopIfTrue="1" operator="between">
      <formula>50</formula>
      <formula>59.999</formula>
    </cfRule>
  </conditionalFormatting>
  <conditionalFormatting sqref="L99">
    <cfRule type="cellIs" dxfId="729" priority="1553" stopIfTrue="1" operator="between">
      <formula>40</formula>
      <formula>49.999</formula>
    </cfRule>
  </conditionalFormatting>
  <conditionalFormatting sqref="L99">
    <cfRule type="cellIs" dxfId="728" priority="1554" stopIfTrue="1" operator="lessThan">
      <formula>40</formula>
    </cfRule>
  </conditionalFormatting>
  <conditionalFormatting sqref="I100">
    <cfRule type="expression" dxfId="727" priority="1555" stopIfTrue="1">
      <formula>ISBLANK(I100)</formula>
    </cfRule>
  </conditionalFormatting>
  <conditionalFormatting sqref="I100">
    <cfRule type="cellIs" dxfId="726" priority="1556" stopIfTrue="1" operator="equal">
      <formula>"No grades yet"</formula>
    </cfRule>
  </conditionalFormatting>
  <conditionalFormatting sqref="I100">
    <cfRule type="cellIs" dxfId="725" priority="1557" stopIfTrue="1" operator="greaterThanOrEqual">
      <formula>70</formula>
    </cfRule>
  </conditionalFormatting>
  <conditionalFormatting sqref="I100">
    <cfRule type="cellIs" dxfId="724" priority="1558" stopIfTrue="1" operator="between">
      <formula>60</formula>
      <formula>69.999</formula>
    </cfRule>
  </conditionalFormatting>
  <conditionalFormatting sqref="I100">
    <cfRule type="cellIs" dxfId="723" priority="1559" stopIfTrue="1" operator="between">
      <formula>50</formula>
      <formula>59.999</formula>
    </cfRule>
  </conditionalFormatting>
  <conditionalFormatting sqref="I100">
    <cfRule type="cellIs" dxfId="722" priority="1560" stopIfTrue="1" operator="between">
      <formula>40</formula>
      <formula>49.999</formula>
    </cfRule>
  </conditionalFormatting>
  <conditionalFormatting sqref="I100">
    <cfRule type="cellIs" dxfId="721" priority="1561" stopIfTrue="1" operator="lessThan">
      <formula>40</formula>
    </cfRule>
  </conditionalFormatting>
  <conditionalFormatting sqref="L100">
    <cfRule type="expression" dxfId="720" priority="1562" stopIfTrue="1">
      <formula>ISBLANK(L100)</formula>
    </cfRule>
  </conditionalFormatting>
  <conditionalFormatting sqref="L100">
    <cfRule type="cellIs" dxfId="719" priority="1563" stopIfTrue="1" operator="equal">
      <formula>"No grades yet"</formula>
    </cfRule>
  </conditionalFormatting>
  <conditionalFormatting sqref="L100">
    <cfRule type="cellIs" dxfId="718" priority="1564" stopIfTrue="1" operator="greaterThanOrEqual">
      <formula>70</formula>
    </cfRule>
  </conditionalFormatting>
  <conditionalFormatting sqref="L100">
    <cfRule type="cellIs" dxfId="717" priority="1565" stopIfTrue="1" operator="between">
      <formula>60</formula>
      <formula>69.999</formula>
    </cfRule>
  </conditionalFormatting>
  <conditionalFormatting sqref="L100">
    <cfRule type="cellIs" dxfId="716" priority="1566" stopIfTrue="1" operator="between">
      <formula>50</formula>
      <formula>59.999</formula>
    </cfRule>
  </conditionalFormatting>
  <conditionalFormatting sqref="L100">
    <cfRule type="cellIs" dxfId="715" priority="1567" stopIfTrue="1" operator="between">
      <formula>40</formula>
      <formula>49.999</formula>
    </cfRule>
  </conditionalFormatting>
  <conditionalFormatting sqref="L100">
    <cfRule type="cellIs" dxfId="714" priority="1568" stopIfTrue="1" operator="lessThan">
      <formula>40</formula>
    </cfRule>
  </conditionalFormatting>
  <conditionalFormatting sqref="I101">
    <cfRule type="expression" dxfId="713" priority="1569" stopIfTrue="1">
      <formula>ISBLANK(I101)</formula>
    </cfRule>
  </conditionalFormatting>
  <conditionalFormatting sqref="I101">
    <cfRule type="cellIs" dxfId="712" priority="1570" stopIfTrue="1" operator="equal">
      <formula>"No grades yet"</formula>
    </cfRule>
  </conditionalFormatting>
  <conditionalFormatting sqref="I101">
    <cfRule type="cellIs" dxfId="711" priority="1571" stopIfTrue="1" operator="greaterThanOrEqual">
      <formula>70</formula>
    </cfRule>
  </conditionalFormatting>
  <conditionalFormatting sqref="I101">
    <cfRule type="cellIs" dxfId="710" priority="1572" stopIfTrue="1" operator="between">
      <formula>60</formula>
      <formula>69.999</formula>
    </cfRule>
  </conditionalFormatting>
  <conditionalFormatting sqref="I101">
    <cfRule type="cellIs" dxfId="709" priority="1573" stopIfTrue="1" operator="between">
      <formula>50</formula>
      <formula>59.999</formula>
    </cfRule>
  </conditionalFormatting>
  <conditionalFormatting sqref="I101">
    <cfRule type="cellIs" dxfId="708" priority="1574" stopIfTrue="1" operator="between">
      <formula>40</formula>
      <formula>49.999</formula>
    </cfRule>
  </conditionalFormatting>
  <conditionalFormatting sqref="I101">
    <cfRule type="cellIs" dxfId="707" priority="1575" stopIfTrue="1" operator="lessThan">
      <formula>40</formula>
    </cfRule>
  </conditionalFormatting>
  <conditionalFormatting sqref="L101">
    <cfRule type="expression" dxfId="706" priority="1576" stopIfTrue="1">
      <formula>ISBLANK(L101)</formula>
    </cfRule>
  </conditionalFormatting>
  <conditionalFormatting sqref="L101">
    <cfRule type="cellIs" dxfId="705" priority="1577" stopIfTrue="1" operator="equal">
      <formula>"No grades yet"</formula>
    </cfRule>
  </conditionalFormatting>
  <conditionalFormatting sqref="L101">
    <cfRule type="cellIs" dxfId="704" priority="1578" stopIfTrue="1" operator="greaterThanOrEqual">
      <formula>70</formula>
    </cfRule>
  </conditionalFormatting>
  <conditionalFormatting sqref="L101">
    <cfRule type="cellIs" dxfId="703" priority="1579" stopIfTrue="1" operator="between">
      <formula>60</formula>
      <formula>69.999</formula>
    </cfRule>
  </conditionalFormatting>
  <conditionalFormatting sqref="L101">
    <cfRule type="cellIs" dxfId="702" priority="1580" stopIfTrue="1" operator="between">
      <formula>50</formula>
      <formula>59.999</formula>
    </cfRule>
  </conditionalFormatting>
  <conditionalFormatting sqref="L101">
    <cfRule type="cellIs" dxfId="701" priority="1581" stopIfTrue="1" operator="between">
      <formula>40</formula>
      <formula>49.999</formula>
    </cfRule>
  </conditionalFormatting>
  <conditionalFormatting sqref="L101">
    <cfRule type="cellIs" dxfId="700" priority="1582" stopIfTrue="1" operator="lessThan">
      <formula>40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44367-3AC6-496E-AE46-BDD2FA85413D}">
  <sheetPr codeName="Sheet10"/>
  <dimension ref="A1:P23"/>
  <sheetViews>
    <sheetView zoomScale="75" workbookViewId="0">
      <selection activeCell="E36" sqref="E36"/>
    </sheetView>
  </sheetViews>
  <sheetFormatPr defaultRowHeight="13.2"/>
  <cols>
    <col min="1" max="1" width="10.77734375" bestFit="1" customWidth="1"/>
    <col min="2" max="2" width="32.33203125" customWidth="1"/>
    <col min="3" max="4" width="7.88671875" customWidth="1"/>
    <col min="5" max="5" width="14.5546875" customWidth="1"/>
    <col min="6" max="6" width="22.21875" bestFit="1" customWidth="1"/>
    <col min="7" max="7" width="4.88671875" bestFit="1" customWidth="1"/>
    <col min="8" max="8" width="25.88671875" bestFit="1" customWidth="1"/>
    <col min="10" max="10" width="8.88671875" hidden="1" customWidth="1"/>
    <col min="11" max="11" width="10.6640625" hidden="1" customWidth="1"/>
    <col min="12" max="12" width="13" bestFit="1" customWidth="1"/>
    <col min="13" max="13" width="14.6640625" bestFit="1" customWidth="1"/>
    <col min="14" max="15" width="14.77734375" bestFit="1" customWidth="1"/>
    <col min="16" max="16" width="15.109375" bestFit="1" customWidth="1"/>
  </cols>
  <sheetData>
    <row r="1" spans="1:16" ht="27.6" thickTop="1" thickBot="1">
      <c r="A1" s="27" t="s">
        <v>65</v>
      </c>
      <c r="B1" s="28" t="s">
        <v>1</v>
      </c>
      <c r="C1" s="28" t="s">
        <v>0</v>
      </c>
      <c r="D1" s="28" t="s">
        <v>502</v>
      </c>
      <c r="E1" s="28" t="s">
        <v>92</v>
      </c>
      <c r="F1" s="114" t="s">
        <v>224</v>
      </c>
      <c r="G1" s="114"/>
      <c r="H1" s="114"/>
      <c r="I1" s="28" t="s">
        <v>2</v>
      </c>
      <c r="J1" s="28" t="s">
        <v>3</v>
      </c>
      <c r="K1" s="28" t="s">
        <v>4</v>
      </c>
      <c r="L1" s="28" t="s">
        <v>5</v>
      </c>
      <c r="M1" s="28" t="s">
        <v>193</v>
      </c>
      <c r="N1" s="28" t="s">
        <v>7</v>
      </c>
      <c r="O1" s="28" t="s">
        <v>194</v>
      </c>
      <c r="P1" s="29" t="s">
        <v>195</v>
      </c>
    </row>
    <row r="2" spans="1:16" ht="13.8" thickTop="1">
      <c r="A2" s="204" t="s">
        <v>148</v>
      </c>
      <c r="B2" s="201" t="s">
        <v>149</v>
      </c>
      <c r="C2" s="194">
        <v>10</v>
      </c>
      <c r="D2" s="236">
        <f>C2/60</f>
        <v>0.16666666666666666</v>
      </c>
      <c r="E2" s="195">
        <v>0.4</v>
      </c>
      <c r="F2" s="196" t="s">
        <v>150</v>
      </c>
      <c r="G2" s="197">
        <v>0.6</v>
      </c>
      <c r="H2" s="196" t="s">
        <v>151</v>
      </c>
      <c r="I2" s="186"/>
      <c r="J2" s="158">
        <f>IF(G2=1, I2, SUMPRODUCT(I2:I5, G2:G5))</f>
        <v>0</v>
      </c>
      <c r="K2" s="158">
        <f>SUMIF(I2:I5, "&lt;&gt;", G2:G5) / SUMIF(G2:G5, "&lt;&gt;")</f>
        <v>0</v>
      </c>
      <c r="L2" s="158" t="str">
        <f>IFERROR(J2/K2, "No grades yet")</f>
        <v>No grades yet</v>
      </c>
      <c r="M2" s="158">
        <f>IFERROR(IF(K2 = 1, "Completed module", IF(((70 - J2) / (1 - K2)) &gt; 100, "Unattainable", IF(((70 - J2) / (1 - K2)) &lt; 0, "Already attained", ((70 - J2) / (1 - K2))))), "-")</f>
        <v>70</v>
      </c>
      <c r="N2" s="158">
        <f>IFERROR(IF(K2 = 1, "Completed module", IF(((60 - J2) / (1 - K2)) &gt; 100, "Unattainable", IF(((60 - J2) / (1 - K2)) &lt; 0, "Already attained", ((60 - J2) / (1 - K2))))), "-")</f>
        <v>60</v>
      </c>
      <c r="O2" s="158">
        <f>IFERROR(IF(K2 = 1, "Completed module", IF(((50 - J2) / (1 - K2)) &gt; 100, "Unattainable", IF(((50 - J2) / (1 - K2)) &lt; 0, "Already attained", ((50 - J2) / (1 - K2))))), "-")</f>
        <v>50</v>
      </c>
      <c r="P2" s="166">
        <f>IFERROR(IF(K2 = 1, "Completed module", IF(((40 - J2) / (1 - K2)) &gt; 100, "Unattainable", IF(((40 - J2) / (1 - K2)) &lt; 0, "Already attained", ((40 - J2) / (1 - K2))))), "-")</f>
        <v>40</v>
      </c>
    </row>
    <row r="3" spans="1:16">
      <c r="A3" s="205"/>
      <c r="B3" s="202"/>
      <c r="C3" s="191"/>
      <c r="D3" s="237"/>
      <c r="E3" s="192"/>
      <c r="F3" s="193" t="s">
        <v>225</v>
      </c>
      <c r="G3" s="189">
        <v>0.3</v>
      </c>
      <c r="H3" s="193" t="s">
        <v>152</v>
      </c>
      <c r="I3" s="185"/>
      <c r="J3" s="148"/>
      <c r="K3" s="148"/>
      <c r="L3" s="148"/>
      <c r="M3" s="148"/>
      <c r="N3" s="148"/>
      <c r="O3" s="148"/>
      <c r="P3" s="167"/>
    </row>
    <row r="4" spans="1:16">
      <c r="A4" s="205"/>
      <c r="B4" s="202"/>
      <c r="C4" s="191"/>
      <c r="D4" s="237"/>
      <c r="E4" s="192"/>
      <c r="F4" s="193" t="s">
        <v>188</v>
      </c>
      <c r="G4" s="189">
        <v>0</v>
      </c>
      <c r="H4" s="193" t="s">
        <v>153</v>
      </c>
      <c r="I4" s="185"/>
      <c r="J4" s="148"/>
      <c r="K4" s="148"/>
      <c r="L4" s="148"/>
      <c r="M4" s="148"/>
      <c r="N4" s="148"/>
      <c r="O4" s="148"/>
      <c r="P4" s="167"/>
    </row>
    <row r="5" spans="1:16" ht="13.8" thickBot="1">
      <c r="A5" s="207"/>
      <c r="B5" s="208"/>
      <c r="C5" s="209"/>
      <c r="D5" s="238"/>
      <c r="E5" s="210"/>
      <c r="F5" s="211" t="s">
        <v>188</v>
      </c>
      <c r="G5" s="190">
        <v>0.1</v>
      </c>
      <c r="H5" s="211" t="s">
        <v>154</v>
      </c>
      <c r="I5" s="212"/>
      <c r="J5" s="183"/>
      <c r="K5" s="183"/>
      <c r="L5" s="183"/>
      <c r="M5" s="183"/>
      <c r="N5" s="183"/>
      <c r="O5" s="183"/>
      <c r="P5" s="184"/>
    </row>
    <row r="6" spans="1:16" ht="13.8" thickTop="1">
      <c r="A6" s="204" t="s">
        <v>196</v>
      </c>
      <c r="B6" s="201" t="s">
        <v>197</v>
      </c>
      <c r="C6" s="194">
        <v>5</v>
      </c>
      <c r="D6" s="236">
        <f>C6/60</f>
        <v>8.3333333333333329E-2</v>
      </c>
      <c r="E6" s="195">
        <v>0.4</v>
      </c>
      <c r="F6" s="196" t="s">
        <v>198</v>
      </c>
      <c r="G6" s="197">
        <v>0.4</v>
      </c>
      <c r="H6" s="196" t="s">
        <v>198</v>
      </c>
      <c r="I6" s="186"/>
      <c r="J6" s="158">
        <f>IF(G6=1, I6, SUMPRODUCT(I6:I9, G6:G9))</f>
        <v>0</v>
      </c>
      <c r="K6" s="158">
        <f>SUMIF(I6:I9, "&lt;&gt;", G6:G9) / SUMIF(G6:G9, "&lt;&gt;")</f>
        <v>0</v>
      </c>
      <c r="L6" s="158" t="str">
        <f>IFERROR(J6/K6, "No grades yet")</f>
        <v>No grades yet</v>
      </c>
      <c r="M6" s="158">
        <f>IFERROR(IF(K6 = 1, "Completed module", IF(((70 - J6) / (1 - K6)) &gt; 100, "Unattainable", IF(((70 - J6) / (1 - K6)) &lt; 0, "Already attained", ((70 - J6) / (1 - K6))))), "-")</f>
        <v>70</v>
      </c>
      <c r="N6" s="158">
        <f>IFERROR(IF(K6 = 1, "Completed module", IF(((60 - J6) / (1 - K6)) &gt; 100, "Unattainable", IF(((60 - J6) / (1 - K6)) &lt; 0, "Already attained", ((60 - J6) / (1 - K6))))), "-")</f>
        <v>60</v>
      </c>
      <c r="O6" s="158">
        <f>IFERROR(IF(K6 = 1, "Completed module", IF(((50 - J6) / (1 - K6)) &gt; 100, "Unattainable", IF(((50 - J6) / (1 - K6)) &lt; 0, "Already attained", ((50 - J6) / (1 - K6))))), "-")</f>
        <v>50</v>
      </c>
      <c r="P6" s="166">
        <f>IFERROR(IF(K6 = 1, "Completed module", IF(((40 - J6) / (1 - K6)) &gt; 100, "Unattainable", IF(((40 - J6) / (1 - K6)) &lt; 0, "Already attained", ((40 - J6) / (1 - K6))))), "-")</f>
        <v>40</v>
      </c>
    </row>
    <row r="7" spans="1:16">
      <c r="A7" s="205"/>
      <c r="B7" s="202"/>
      <c r="C7" s="191"/>
      <c r="D7" s="237"/>
      <c r="E7" s="192"/>
      <c r="F7" s="193" t="s">
        <v>199</v>
      </c>
      <c r="G7" s="189">
        <v>0.6</v>
      </c>
      <c r="H7" s="193" t="s">
        <v>200</v>
      </c>
      <c r="I7" s="185"/>
      <c r="J7" s="148"/>
      <c r="K7" s="148"/>
      <c r="L7" s="148"/>
      <c r="M7" s="148"/>
      <c r="N7" s="148"/>
      <c r="O7" s="148"/>
      <c r="P7" s="167"/>
    </row>
    <row r="8" spans="1:16">
      <c r="A8" s="205"/>
      <c r="B8" s="202"/>
      <c r="C8" s="191"/>
      <c r="D8" s="237"/>
      <c r="E8" s="192"/>
      <c r="F8" s="193" t="s">
        <v>201</v>
      </c>
      <c r="G8" s="189">
        <v>0</v>
      </c>
      <c r="H8" s="193" t="s">
        <v>202</v>
      </c>
      <c r="I8" s="185"/>
      <c r="J8" s="148"/>
      <c r="K8" s="148"/>
      <c r="L8" s="148"/>
      <c r="M8" s="148"/>
      <c r="N8" s="148"/>
      <c r="O8" s="148"/>
      <c r="P8" s="167"/>
    </row>
    <row r="9" spans="1:16" ht="13.8" thickBot="1">
      <c r="A9" s="207"/>
      <c r="B9" s="208"/>
      <c r="C9" s="209"/>
      <c r="D9" s="238"/>
      <c r="E9" s="210"/>
      <c r="F9" s="211" t="s">
        <v>203</v>
      </c>
      <c r="G9" s="190">
        <v>0</v>
      </c>
      <c r="H9" s="211" t="s">
        <v>204</v>
      </c>
      <c r="I9" s="212"/>
      <c r="J9" s="183"/>
      <c r="K9" s="183"/>
      <c r="L9" s="183"/>
      <c r="M9" s="183"/>
      <c r="N9" s="183"/>
      <c r="O9" s="183"/>
      <c r="P9" s="184"/>
    </row>
    <row r="10" spans="1:16" ht="13.8" thickTop="1">
      <c r="A10" s="204" t="s">
        <v>205</v>
      </c>
      <c r="B10" s="201" t="s">
        <v>206</v>
      </c>
      <c r="C10" s="194">
        <v>10</v>
      </c>
      <c r="D10" s="236">
        <f>C10/60</f>
        <v>0.16666666666666666</v>
      </c>
      <c r="E10" s="195">
        <v>0.4</v>
      </c>
      <c r="F10" s="196" t="s">
        <v>188</v>
      </c>
      <c r="G10" s="214">
        <v>0.1</v>
      </c>
      <c r="H10" s="196" t="s">
        <v>207</v>
      </c>
      <c r="I10" s="186"/>
      <c r="J10" s="158">
        <f>IF(G10=1, I10, SUMPRODUCT(I10:I12, G10:G12))</f>
        <v>0</v>
      </c>
      <c r="K10" s="158">
        <f>SUMIF(I10:I12, "&lt;&gt;", G10:G12) / SUMIF(G10:G12, "&lt;&gt;")</f>
        <v>0</v>
      </c>
      <c r="L10" s="158" t="str">
        <f>IFERROR(J10/K10, "No grades yet")</f>
        <v>No grades yet</v>
      </c>
      <c r="M10" s="158">
        <f>IFERROR(IF(K10 = 1, "Completed module", IF(((70 - J10) / (1 - K10)) &gt; 100, "Unattainable", IF(((70 - J10) / (1 - K10)) &lt; 0, "Already attained", ((70 - J10) / (1 - K10))))), "-")</f>
        <v>70</v>
      </c>
      <c r="N10" s="158">
        <f>IFERROR(IF(K10 = 1, "Completed module", IF(((60 - J10) / (1 - K10)) &gt; 100, "Unattainable", IF(((60 - J10) / (1 - K10)) &lt; 0, "Already attained", ((60 - J10) / (1 - K10))))), "-")</f>
        <v>60</v>
      </c>
      <c r="O10" s="158">
        <f>IFERROR(IF(K10 = 1, "Completed module", IF(((50 - J10) / (1 - K10)) &gt; 100, "Unattainable", IF(((50 - J10) / (1 - K10)) &lt; 0, "Already attained", ((50 - J10) / (1 - K10))))), "-")</f>
        <v>50</v>
      </c>
      <c r="P10" s="166">
        <f>IFERROR(IF(K10 = 1, "Completed module", IF(((40 - J10) / (1 - K10)) &gt; 100, "Unattainable", IF(((40 - J10) / (1 - K10)) &lt; 0, "Already attained", ((40 - J10) / (1 - K10))))), "-")</f>
        <v>40</v>
      </c>
    </row>
    <row r="11" spans="1:16">
      <c r="A11" s="205"/>
      <c r="B11" s="202"/>
      <c r="C11" s="191"/>
      <c r="D11" s="237"/>
      <c r="E11" s="192"/>
      <c r="F11" s="193" t="s">
        <v>188</v>
      </c>
      <c r="G11" s="213">
        <v>0.1</v>
      </c>
      <c r="H11" s="193" t="s">
        <v>208</v>
      </c>
      <c r="I11" s="185"/>
      <c r="J11" s="148"/>
      <c r="K11" s="148"/>
      <c r="L11" s="148"/>
      <c r="M11" s="148"/>
      <c r="N11" s="148"/>
      <c r="O11" s="148"/>
      <c r="P11" s="167"/>
    </row>
    <row r="12" spans="1:16" ht="13.8" thickBot="1">
      <c r="A12" s="207"/>
      <c r="B12" s="208"/>
      <c r="C12" s="209"/>
      <c r="D12" s="238"/>
      <c r="E12" s="210"/>
      <c r="F12" s="211" t="s">
        <v>150</v>
      </c>
      <c r="G12" s="216">
        <v>0.8</v>
      </c>
      <c r="H12" s="211" t="s">
        <v>209</v>
      </c>
      <c r="I12" s="212"/>
      <c r="J12" s="183"/>
      <c r="K12" s="183"/>
      <c r="L12" s="183"/>
      <c r="M12" s="183"/>
      <c r="N12" s="183"/>
      <c r="O12" s="183"/>
      <c r="P12" s="184"/>
    </row>
    <row r="13" spans="1:16" ht="27" thickTop="1">
      <c r="A13" s="204" t="s">
        <v>220</v>
      </c>
      <c r="B13" s="201" t="s">
        <v>221</v>
      </c>
      <c r="C13" s="194">
        <v>10</v>
      </c>
      <c r="D13" s="236">
        <f>C13/60</f>
        <v>0.16666666666666666</v>
      </c>
      <c r="E13" s="195">
        <v>0.4</v>
      </c>
      <c r="F13" s="196" t="s">
        <v>150</v>
      </c>
      <c r="G13" s="214">
        <v>0.9</v>
      </c>
      <c r="H13" s="196" t="s">
        <v>222</v>
      </c>
      <c r="I13" s="186"/>
      <c r="J13" s="158">
        <f>IF(G13=1, I13, SUMPRODUCT(I13:I14, G13:G14))</f>
        <v>0</v>
      </c>
      <c r="K13" s="158">
        <f>SUMIF(I13:I14, "&lt;&gt;", G13:G14) / SUMIF(G13:G14, "&lt;&gt;")</f>
        <v>0</v>
      </c>
      <c r="L13" s="158" t="str">
        <f>IFERROR(J13/K13, "No grades yet")</f>
        <v>No grades yet</v>
      </c>
      <c r="M13" s="158">
        <f>IFERROR(IF(K13 = 1, "Completed module", IF(((70 - J13) / (1 - K13)) &gt; 100, "Unattainable", IF(((70 - J13) / (1 - K13)) &lt; 0, "Already attained", ((70 - J13) / (1 - K13))))), "-")</f>
        <v>70</v>
      </c>
      <c r="N13" s="158">
        <f>IFERROR(IF(K13 = 1, "Completed module", IF(((60 - J13) / (1 - K13)) &gt; 100, "Unattainable", IF(((60 - J13) / (1 - K13)) &lt; 0, "Already attained", ((60 - J13) / (1 - K13))))), "-")</f>
        <v>60</v>
      </c>
      <c r="O13" s="158">
        <f>IFERROR(IF(K13 = 1, "Completed module", IF(((50 - J13) / (1 - K13)) &gt; 100, "Unattainable", IF(((50 - J13) / (1 - K13)) &lt; 0, "Already attained", ((50 - J13) / (1 - K13))))), "-")</f>
        <v>50</v>
      </c>
      <c r="P13" s="166">
        <f>IFERROR(IF(K13 = 1, "Completed module", IF(((40 - J13) / (1 - K13)) &gt; 100, "Unattainable", IF(((40 - J13) / (1 - K13)) &lt; 0, "Already attained", ((40 - J13) / (1 - K13))))), "-")</f>
        <v>40</v>
      </c>
    </row>
    <row r="14" spans="1:16" ht="13.8" thickBot="1">
      <c r="A14" s="207"/>
      <c r="B14" s="208"/>
      <c r="C14" s="209"/>
      <c r="D14" s="238"/>
      <c r="E14" s="210"/>
      <c r="F14" s="211" t="s">
        <v>199</v>
      </c>
      <c r="G14" s="216">
        <v>0.1</v>
      </c>
      <c r="H14" s="211" t="s">
        <v>223</v>
      </c>
      <c r="I14" s="212"/>
      <c r="J14" s="183"/>
      <c r="K14" s="183"/>
      <c r="L14" s="183"/>
      <c r="M14" s="183"/>
      <c r="N14" s="183"/>
      <c r="O14" s="183"/>
      <c r="P14" s="184"/>
    </row>
    <row r="15" spans="1:16" ht="13.8" thickTop="1">
      <c r="A15" s="204" t="s">
        <v>226</v>
      </c>
      <c r="B15" s="201" t="s">
        <v>227</v>
      </c>
      <c r="C15" s="194">
        <v>10</v>
      </c>
      <c r="D15" s="236">
        <f>C15/60</f>
        <v>0.16666666666666666</v>
      </c>
      <c r="E15" s="195">
        <v>0.4</v>
      </c>
      <c r="F15" s="196" t="s">
        <v>150</v>
      </c>
      <c r="G15" s="214">
        <v>0.6</v>
      </c>
      <c r="H15" s="196" t="s">
        <v>228</v>
      </c>
      <c r="I15" s="186"/>
      <c r="J15" s="158">
        <f>IF(G15=1, I15, SUMPRODUCT(I15:I17, G15:G17))</f>
        <v>0</v>
      </c>
      <c r="K15" s="158">
        <f>SUMIF(I15:I17, "&lt;&gt;", G15:G17) / SUMIF(G15:G17, "&lt;&gt;")</f>
        <v>0</v>
      </c>
      <c r="L15" s="158" t="str">
        <f>IFERROR(J15/K15, "No grades yet")</f>
        <v>No grades yet</v>
      </c>
      <c r="M15" s="158">
        <f>IFERROR(IF(K15 = 1, "Completed module", IF(((70 - J15) / (1 - K15)) &gt; 100, "Unattainable", IF(((70 - J15) / (1 - K15)) &lt; 0, "Already attained", ((70 - J15) / (1 - K15))))), "-")</f>
        <v>70</v>
      </c>
      <c r="N15" s="158">
        <f>IFERROR(IF(K15 = 1, "Completed module", IF(((60 - J15) / (1 - K15)) &gt; 100, "Unattainable", IF(((60 - J15) / (1 - K15)) &lt; 0, "Already attained", ((60 - J15) / (1 - K15))))), "-")</f>
        <v>60</v>
      </c>
      <c r="O15" s="158">
        <f>IFERROR(IF(K15 = 1, "Completed module", IF(((50 - J15) / (1 - K15)) &gt; 100, "Unattainable", IF(((50 - J15) / (1 - K15)) &lt; 0, "Already attained", ((50 - J15) / (1 - K15))))), "-")</f>
        <v>50</v>
      </c>
      <c r="P15" s="166">
        <f>IFERROR(IF(K15 = 1, "Completed module", IF(((40 - J15) / (1 - K15)) &gt; 100, "Unattainable", IF(((40 - J15) / (1 - K15)) &lt; 0, "Already attained", ((40 - J15) / (1 - K15))))), "-")</f>
        <v>40</v>
      </c>
    </row>
    <row r="16" spans="1:16">
      <c r="A16" s="205"/>
      <c r="B16" s="202"/>
      <c r="C16" s="191"/>
      <c r="D16" s="237"/>
      <c r="E16" s="192"/>
      <c r="F16" s="193" t="s">
        <v>188</v>
      </c>
      <c r="G16" s="213">
        <v>0.2</v>
      </c>
      <c r="H16" s="193" t="s">
        <v>188</v>
      </c>
      <c r="I16" s="185"/>
      <c r="J16" s="148"/>
      <c r="K16" s="148"/>
      <c r="L16" s="148"/>
      <c r="M16" s="148"/>
      <c r="N16" s="148"/>
      <c r="O16" s="148"/>
      <c r="P16" s="167"/>
    </row>
    <row r="17" spans="1:16" ht="13.8" thickBot="1">
      <c r="A17" s="207"/>
      <c r="B17" s="208"/>
      <c r="C17" s="209"/>
      <c r="D17" s="238"/>
      <c r="E17" s="210"/>
      <c r="F17" s="211" t="s">
        <v>188</v>
      </c>
      <c r="G17" s="216">
        <v>0.2</v>
      </c>
      <c r="H17" s="211" t="s">
        <v>188</v>
      </c>
      <c r="I17" s="212"/>
      <c r="J17" s="183"/>
      <c r="K17" s="183"/>
      <c r="L17" s="183"/>
      <c r="M17" s="183"/>
      <c r="N17" s="183"/>
      <c r="O17" s="183"/>
      <c r="P17" s="184"/>
    </row>
    <row r="18" spans="1:16" ht="13.8" thickTop="1">
      <c r="A18" s="204" t="s">
        <v>229</v>
      </c>
      <c r="B18" s="201" t="s">
        <v>230</v>
      </c>
      <c r="C18" s="194">
        <v>5</v>
      </c>
      <c r="D18" s="236">
        <f>C18/60</f>
        <v>8.3333333333333329E-2</v>
      </c>
      <c r="E18" s="195">
        <v>0.4</v>
      </c>
      <c r="F18" s="196" t="s">
        <v>231</v>
      </c>
      <c r="G18" s="214">
        <v>0.6</v>
      </c>
      <c r="H18" s="196" t="s">
        <v>232</v>
      </c>
      <c r="I18" s="186"/>
      <c r="J18" s="158">
        <f>IF(G18=1, I18, SUMPRODUCT(I18:I20, G18:G20))</f>
        <v>0</v>
      </c>
      <c r="K18" s="158">
        <f>SUMIF(I18:I20, "&lt;&gt;", G18:G20) / SUMIF(G18:G20, "&lt;&gt;")</f>
        <v>0</v>
      </c>
      <c r="L18" s="158" t="str">
        <f>IFERROR(J18/K18, "No grades yet")</f>
        <v>No grades yet</v>
      </c>
      <c r="M18" s="158">
        <f>IFERROR(IF(K18 = 1, "Completed module", IF(((70 - J18) / (1 - K18)) &gt; 100, "Unattainable", IF(((70 - J18) / (1 - K18)) &lt; 0, "Already attained", ((70 - J18) / (1 - K18))))), "-")</f>
        <v>70</v>
      </c>
      <c r="N18" s="158">
        <f>IFERROR(IF(K18 = 1, "Completed module", IF(((60 - J18) / (1 - K18)) &gt; 100, "Unattainable", IF(((60 - J18) / (1 - K18)) &lt; 0, "Already attained", ((60 - J18) / (1 - K18))))), "-")</f>
        <v>60</v>
      </c>
      <c r="O18" s="158">
        <f>IFERROR(IF(K18 = 1, "Completed module", IF(((50 - J18) / (1 - K18)) &gt; 100, "Unattainable", IF(((50 - J18) / (1 - K18)) &lt; 0, "Already attained", ((50 - J18) / (1 - K18))))), "-")</f>
        <v>50</v>
      </c>
      <c r="P18" s="166">
        <f>IFERROR(IF(K18 = 1, "Completed module", IF(((40 - J18) / (1 - K18)) &gt; 100, "Unattainable", IF(((40 - J18) / (1 - K18)) &lt; 0, "Already attained", ((40 - J18) / (1 - K18))))), "-")</f>
        <v>40</v>
      </c>
    </row>
    <row r="19" spans="1:16">
      <c r="A19" s="205"/>
      <c r="B19" s="202"/>
      <c r="C19" s="191"/>
      <c r="D19" s="237"/>
      <c r="E19" s="192"/>
      <c r="F19" s="193" t="s">
        <v>233</v>
      </c>
      <c r="G19" s="213">
        <v>0.2</v>
      </c>
      <c r="H19" s="193" t="s">
        <v>234</v>
      </c>
      <c r="I19" s="185"/>
      <c r="J19" s="148"/>
      <c r="K19" s="148"/>
      <c r="L19" s="148"/>
      <c r="M19" s="148"/>
      <c r="N19" s="148"/>
      <c r="O19" s="148"/>
      <c r="P19" s="167"/>
    </row>
    <row r="20" spans="1:16" ht="13.8" thickBot="1">
      <c r="A20" s="207"/>
      <c r="B20" s="208"/>
      <c r="C20" s="209"/>
      <c r="D20" s="238"/>
      <c r="E20" s="210"/>
      <c r="F20" s="211" t="s">
        <v>233</v>
      </c>
      <c r="G20" s="216">
        <v>0.2</v>
      </c>
      <c r="H20" s="211" t="s">
        <v>235</v>
      </c>
      <c r="I20" s="212"/>
      <c r="J20" s="183"/>
      <c r="K20" s="183"/>
      <c r="L20" s="183"/>
      <c r="M20" s="183"/>
      <c r="N20" s="183"/>
      <c r="O20" s="183"/>
      <c r="P20" s="184"/>
    </row>
    <row r="21" spans="1:16" ht="14.4" thickTop="1" thickBot="1">
      <c r="A21" s="227" t="s">
        <v>236</v>
      </c>
      <c r="B21" s="228" t="s">
        <v>237</v>
      </c>
      <c r="C21" s="229">
        <v>5</v>
      </c>
      <c r="D21" s="239">
        <f>C21/60</f>
        <v>8.3333333333333329E-2</v>
      </c>
      <c r="E21" s="230">
        <v>0.4</v>
      </c>
      <c r="F21" s="231" t="s">
        <v>238</v>
      </c>
      <c r="G21" s="232"/>
      <c r="H21" s="231"/>
      <c r="I21" s="233"/>
      <c r="J21" s="234" t="e">
        <f>IF(G21=1, I21, SUMPRODUCT(I21:I21, G21:G21))</f>
        <v>#VALUE!</v>
      </c>
      <c r="K21" s="234" t="e">
        <f>SUMIF(I21:I21, "&lt;&gt;", G21:G21) / SUMIF(G21:G21, "&lt;&gt;")</f>
        <v>#DIV/0!</v>
      </c>
      <c r="L21" s="234" t="str">
        <f>IFERROR(J21/K21, "No grades yet")</f>
        <v>No grades yet</v>
      </c>
      <c r="M21" s="234" t="str">
        <f>IFERROR(IF(K21 = 1, "Completed module", IF(((70 - J21) / (1 - K21)) &gt; 100, "Unattainable", IF(((70 - J21) / (1 - K21)) &lt; 0, "Already attained", ((70 - J21) / (1 - K21))))), "-")</f>
        <v>-</v>
      </c>
      <c r="N21" s="234" t="str">
        <f>IFERROR(IF(K21 = 1, "Completed module", IF(((60 - J21) / (1 - K21)) &gt; 100, "Unattainable", IF(((60 - J21) / (1 - K21)) &lt; 0, "Already attained", ((60 - J21) / (1 - K21))))), "-")</f>
        <v>-</v>
      </c>
      <c r="O21" s="234" t="str">
        <f>IFERROR(IF(K21 = 1, "Completed module", IF(((50 - J21) / (1 - K21)) &gt; 100, "Unattainable", IF(((50 - J21) / (1 - K21)) &lt; 0, "Already attained", ((50 - J21) / (1 - K21))))), "-")</f>
        <v>-</v>
      </c>
      <c r="P21" s="235" t="str">
        <f>IFERROR(IF(K21 = 1, "Completed module", IF(((40 - J21) / (1 - K21)) &gt; 100, "Unattainable", IF(((40 - J21) / (1 - K21)) &lt; 0, "Already attained", ((40 - J21) / (1 - K21))))), "-")</f>
        <v>-</v>
      </c>
    </row>
    <row r="22" spans="1:16" ht="14.4" thickTop="1" thickBot="1">
      <c r="A22" s="226" t="s">
        <v>239</v>
      </c>
      <c r="B22" s="225" t="s">
        <v>240</v>
      </c>
      <c r="C22" s="218">
        <v>5</v>
      </c>
      <c r="D22" s="240">
        <f>C22/60</f>
        <v>8.3333333333333329E-2</v>
      </c>
      <c r="E22" s="219">
        <v>0.4</v>
      </c>
      <c r="F22" s="220" t="s">
        <v>238</v>
      </c>
      <c r="G22" s="221"/>
      <c r="H22" s="220"/>
      <c r="I22" s="222"/>
      <c r="J22" s="223" t="e">
        <f>IF(G22=1, I22, SUMPRODUCT(I22:I22, G22:G22))</f>
        <v>#VALUE!</v>
      </c>
      <c r="K22" s="223" t="e">
        <f>SUMIF(I22:I22, "&lt;&gt;", G22:G22) / SUMIF(G22:G22, "&lt;&gt;")</f>
        <v>#DIV/0!</v>
      </c>
      <c r="L22" s="223" t="str">
        <f>IFERROR(J22/K22, "No grades yet")</f>
        <v>No grades yet</v>
      </c>
      <c r="M22" s="223" t="str">
        <f>IFERROR(IF(K22 = 1, "Completed module", IF(((70 - J22) / (1 - K22)) &gt; 100, "Unattainable", IF(((70 - J22) / (1 - K22)) &lt; 0, "Already attained", ((70 - J22) / (1 - K22))))), "-")</f>
        <v>-</v>
      </c>
      <c r="N22" s="223" t="str">
        <f>IFERROR(IF(K22 = 1, "Completed module", IF(((60 - J22) / (1 - K22)) &gt; 100, "Unattainable", IF(((60 - J22) / (1 - K22)) &lt; 0, "Already attained", ((60 - J22) / (1 - K22))))), "-")</f>
        <v>-</v>
      </c>
      <c r="O22" s="223" t="str">
        <f>IFERROR(IF(K22 = 1, "Completed module", IF(((50 - J22) / (1 - K22)) &gt; 100, "Unattainable", IF(((50 - J22) / (1 - K22)) &lt; 0, "Already attained", ((50 - J22) / (1 - K22))))), "-")</f>
        <v>-</v>
      </c>
      <c r="P22" s="224" t="str">
        <f>IFERROR(IF(K22 = 1, "Completed module", IF(((40 - J22) / (1 - K22)) &gt; 100, "Unattainable", IF(((40 - J22) / (1 - K22)) &lt; 0, "Already attained", ((40 - J22) / (1 - K22))))), "-")</f>
        <v>-</v>
      </c>
    </row>
    <row r="23" spans="1:16" ht="13.8" thickTop="1"/>
  </sheetData>
  <mergeCells count="73">
    <mergeCell ref="D18:D20"/>
    <mergeCell ref="F1:H1"/>
    <mergeCell ref="A2:A5"/>
    <mergeCell ref="B2:B5"/>
    <mergeCell ref="C2:C5"/>
    <mergeCell ref="E2:E5"/>
    <mergeCell ref="D2:D5"/>
    <mergeCell ref="P2:P5"/>
    <mergeCell ref="A6:A9"/>
    <mergeCell ref="B6:B9"/>
    <mergeCell ref="C6:C9"/>
    <mergeCell ref="E6:E9"/>
    <mergeCell ref="J6:J9"/>
    <mergeCell ref="K6:K9"/>
    <mergeCell ref="L6:L9"/>
    <mergeCell ref="M6:M9"/>
    <mergeCell ref="O2:O5"/>
    <mergeCell ref="J2:J5"/>
    <mergeCell ref="K2:K5"/>
    <mergeCell ref="L2:L5"/>
    <mergeCell ref="M2:M5"/>
    <mergeCell ref="N2:N5"/>
    <mergeCell ref="P6:P9"/>
    <mergeCell ref="A10:A12"/>
    <mergeCell ref="B10:B12"/>
    <mergeCell ref="C10:C12"/>
    <mergeCell ref="E10:E12"/>
    <mergeCell ref="J10:J12"/>
    <mergeCell ref="D10:D12"/>
    <mergeCell ref="K10:K12"/>
    <mergeCell ref="B13:B14"/>
    <mergeCell ref="C13:C14"/>
    <mergeCell ref="E13:E14"/>
    <mergeCell ref="N6:N9"/>
    <mergeCell ref="D6:D9"/>
    <mergeCell ref="D13:D14"/>
    <mergeCell ref="O6:O9"/>
    <mergeCell ref="L10:L12"/>
    <mergeCell ref="M10:M12"/>
    <mergeCell ref="N10:N12"/>
    <mergeCell ref="O10:O12"/>
    <mergeCell ref="P10:P12"/>
    <mergeCell ref="P13:P14"/>
    <mergeCell ref="A15:A17"/>
    <mergeCell ref="B15:B17"/>
    <mergeCell ref="C15:C17"/>
    <mergeCell ref="E15:E17"/>
    <mergeCell ref="J15:J17"/>
    <mergeCell ref="K15:K17"/>
    <mergeCell ref="L15:L17"/>
    <mergeCell ref="M15:M17"/>
    <mergeCell ref="J13:J14"/>
    <mergeCell ref="K13:K14"/>
    <mergeCell ref="L13:L14"/>
    <mergeCell ref="M13:M14"/>
    <mergeCell ref="N13:N14"/>
    <mergeCell ref="O13:O14"/>
    <mergeCell ref="A13:A14"/>
    <mergeCell ref="N15:N17"/>
    <mergeCell ref="O15:O17"/>
    <mergeCell ref="P15:P17"/>
    <mergeCell ref="A18:A20"/>
    <mergeCell ref="B18:B20"/>
    <mergeCell ref="C18:C20"/>
    <mergeCell ref="E18:E20"/>
    <mergeCell ref="J18:J20"/>
    <mergeCell ref="K18:K20"/>
    <mergeCell ref="L18:L20"/>
    <mergeCell ref="M18:M20"/>
    <mergeCell ref="N18:N20"/>
    <mergeCell ref="O18:O20"/>
    <mergeCell ref="P18:P20"/>
    <mergeCell ref="D15:D17"/>
  </mergeCells>
  <conditionalFormatting sqref="I2:I5">
    <cfRule type="expression" dxfId="587" priority="113" stopIfTrue="1">
      <formula>ISBLANK(I2)</formula>
    </cfRule>
    <cfRule type="cellIs" dxfId="586" priority="114" stopIfTrue="1" operator="equal">
      <formula>"No grades yet"</formula>
    </cfRule>
    <cfRule type="cellIs" dxfId="585" priority="115" stopIfTrue="1" operator="greaterThanOrEqual">
      <formula>70</formula>
    </cfRule>
    <cfRule type="cellIs" dxfId="584" priority="116" stopIfTrue="1" operator="between">
      <formula>60</formula>
      <formula>69.999</formula>
    </cfRule>
    <cfRule type="cellIs" dxfId="583" priority="117" stopIfTrue="1" operator="between">
      <formula>50</formula>
      <formula>59.999</formula>
    </cfRule>
    <cfRule type="cellIs" dxfId="582" priority="118" stopIfTrue="1" operator="between">
      <formula>40</formula>
      <formula>49.999</formula>
    </cfRule>
    <cfRule type="cellIs" dxfId="581" priority="119" stopIfTrue="1" operator="lessThan">
      <formula>40</formula>
    </cfRule>
  </conditionalFormatting>
  <conditionalFormatting sqref="L2:L5">
    <cfRule type="expression" dxfId="580" priority="120" stopIfTrue="1">
      <formula>ISBLANK(L2)</formula>
    </cfRule>
    <cfRule type="cellIs" dxfId="579" priority="121" stopIfTrue="1" operator="equal">
      <formula>"No grades yet"</formula>
    </cfRule>
    <cfRule type="cellIs" dxfId="578" priority="122" stopIfTrue="1" operator="greaterThanOrEqual">
      <formula>70</formula>
    </cfRule>
    <cfRule type="cellIs" dxfId="577" priority="123" stopIfTrue="1" operator="between">
      <formula>60</formula>
      <formula>69.999</formula>
    </cfRule>
    <cfRule type="cellIs" dxfId="576" priority="124" stopIfTrue="1" operator="between">
      <formula>50</formula>
      <formula>59.999</formula>
    </cfRule>
    <cfRule type="cellIs" dxfId="575" priority="125" stopIfTrue="1" operator="between">
      <formula>40</formula>
      <formula>49.999</formula>
    </cfRule>
    <cfRule type="cellIs" dxfId="574" priority="126" stopIfTrue="1" operator="lessThan">
      <formula>40</formula>
    </cfRule>
  </conditionalFormatting>
  <conditionalFormatting sqref="I6:I9">
    <cfRule type="expression" dxfId="573" priority="127" stopIfTrue="1">
      <formula>ISBLANK(I6)</formula>
    </cfRule>
    <cfRule type="cellIs" dxfId="572" priority="128" stopIfTrue="1" operator="equal">
      <formula>"No grades yet"</formula>
    </cfRule>
    <cfRule type="cellIs" dxfId="571" priority="129" stopIfTrue="1" operator="greaterThanOrEqual">
      <formula>70</formula>
    </cfRule>
    <cfRule type="cellIs" dxfId="570" priority="130" stopIfTrue="1" operator="between">
      <formula>60</formula>
      <formula>69.999</formula>
    </cfRule>
    <cfRule type="cellIs" dxfId="569" priority="131" stopIfTrue="1" operator="between">
      <formula>50</formula>
      <formula>59.999</formula>
    </cfRule>
    <cfRule type="cellIs" dxfId="568" priority="132" stopIfTrue="1" operator="between">
      <formula>40</formula>
      <formula>49.999</formula>
    </cfRule>
    <cfRule type="cellIs" dxfId="567" priority="133" stopIfTrue="1" operator="lessThan">
      <formula>40</formula>
    </cfRule>
  </conditionalFormatting>
  <conditionalFormatting sqref="L6:L9">
    <cfRule type="expression" dxfId="566" priority="134" stopIfTrue="1">
      <formula>ISBLANK(L6)</formula>
    </cfRule>
    <cfRule type="cellIs" dxfId="565" priority="135" stopIfTrue="1" operator="equal">
      <formula>"No grades yet"</formula>
    </cfRule>
    <cfRule type="cellIs" dxfId="564" priority="136" stopIfTrue="1" operator="greaterThanOrEqual">
      <formula>70</formula>
    </cfRule>
    <cfRule type="cellIs" dxfId="563" priority="137" stopIfTrue="1" operator="between">
      <formula>60</formula>
      <formula>69.999</formula>
    </cfRule>
    <cfRule type="cellIs" dxfId="562" priority="138" stopIfTrue="1" operator="between">
      <formula>50</formula>
      <formula>59.999</formula>
    </cfRule>
    <cfRule type="cellIs" dxfId="561" priority="139" stopIfTrue="1" operator="between">
      <formula>40</formula>
      <formula>49.999</formula>
    </cfRule>
    <cfRule type="cellIs" dxfId="560" priority="140" stopIfTrue="1" operator="lessThan">
      <formula>40</formula>
    </cfRule>
  </conditionalFormatting>
  <conditionalFormatting sqref="I10:I12">
    <cfRule type="expression" dxfId="559" priority="141" stopIfTrue="1">
      <formula>ISBLANK(I10)</formula>
    </cfRule>
    <cfRule type="cellIs" dxfId="558" priority="142" stopIfTrue="1" operator="equal">
      <formula>"No grades yet"</formula>
    </cfRule>
    <cfRule type="cellIs" dxfId="557" priority="143" stopIfTrue="1" operator="greaterThanOrEqual">
      <formula>70</formula>
    </cfRule>
    <cfRule type="cellIs" dxfId="556" priority="144" stopIfTrue="1" operator="between">
      <formula>60</formula>
      <formula>69.999</formula>
    </cfRule>
    <cfRule type="cellIs" dxfId="555" priority="145" stopIfTrue="1" operator="between">
      <formula>50</formula>
      <formula>59.999</formula>
    </cfRule>
    <cfRule type="cellIs" dxfId="554" priority="146" stopIfTrue="1" operator="between">
      <formula>40</formula>
      <formula>49.999</formula>
    </cfRule>
    <cfRule type="cellIs" dxfId="553" priority="147" stopIfTrue="1" operator="lessThan">
      <formula>40</formula>
    </cfRule>
  </conditionalFormatting>
  <conditionalFormatting sqref="L10:L12">
    <cfRule type="expression" dxfId="552" priority="148" stopIfTrue="1">
      <formula>ISBLANK(L10)</formula>
    </cfRule>
    <cfRule type="cellIs" dxfId="551" priority="149" stopIfTrue="1" operator="equal">
      <formula>"No grades yet"</formula>
    </cfRule>
    <cfRule type="cellIs" dxfId="550" priority="150" stopIfTrue="1" operator="greaterThanOrEqual">
      <formula>70</formula>
    </cfRule>
    <cfRule type="cellIs" dxfId="549" priority="151" stopIfTrue="1" operator="between">
      <formula>60</formula>
      <formula>69.999</formula>
    </cfRule>
    <cfRule type="cellIs" dxfId="548" priority="152" stopIfTrue="1" operator="between">
      <formula>50</formula>
      <formula>59.999</formula>
    </cfRule>
    <cfRule type="cellIs" dxfId="547" priority="153" stopIfTrue="1" operator="between">
      <formula>40</formula>
      <formula>49.999</formula>
    </cfRule>
    <cfRule type="cellIs" dxfId="546" priority="154" stopIfTrue="1" operator="lessThan">
      <formula>40</formula>
    </cfRule>
  </conditionalFormatting>
  <conditionalFormatting sqref="I13:I14">
    <cfRule type="expression" dxfId="545" priority="155" stopIfTrue="1">
      <formula>ISBLANK(I13)</formula>
    </cfRule>
    <cfRule type="cellIs" dxfId="544" priority="156" stopIfTrue="1" operator="equal">
      <formula>"No grades yet"</formula>
    </cfRule>
    <cfRule type="cellIs" dxfId="543" priority="157" stopIfTrue="1" operator="greaterThanOrEqual">
      <formula>70</formula>
    </cfRule>
    <cfRule type="cellIs" dxfId="542" priority="158" stopIfTrue="1" operator="between">
      <formula>60</formula>
      <formula>69.999</formula>
    </cfRule>
    <cfRule type="cellIs" dxfId="541" priority="159" stopIfTrue="1" operator="between">
      <formula>50</formula>
      <formula>59.999</formula>
    </cfRule>
    <cfRule type="cellIs" dxfId="540" priority="160" stopIfTrue="1" operator="between">
      <formula>40</formula>
      <formula>49.999</formula>
    </cfRule>
    <cfRule type="cellIs" dxfId="539" priority="161" stopIfTrue="1" operator="lessThan">
      <formula>40</formula>
    </cfRule>
  </conditionalFormatting>
  <conditionalFormatting sqref="L13:L14">
    <cfRule type="expression" dxfId="538" priority="162" stopIfTrue="1">
      <formula>ISBLANK(L13)</formula>
    </cfRule>
    <cfRule type="cellIs" dxfId="537" priority="163" stopIfTrue="1" operator="equal">
      <formula>"No grades yet"</formula>
    </cfRule>
    <cfRule type="cellIs" dxfId="536" priority="164" stopIfTrue="1" operator="greaterThanOrEqual">
      <formula>70</formula>
    </cfRule>
    <cfRule type="cellIs" dxfId="535" priority="165" stopIfTrue="1" operator="between">
      <formula>60</formula>
      <formula>69.999</formula>
    </cfRule>
    <cfRule type="cellIs" dxfId="534" priority="166" stopIfTrue="1" operator="between">
      <formula>50</formula>
      <formula>59.999</formula>
    </cfRule>
    <cfRule type="cellIs" dxfId="533" priority="167" stopIfTrue="1" operator="between">
      <formula>40</formula>
      <formula>49.999</formula>
    </cfRule>
    <cfRule type="cellIs" dxfId="532" priority="168" stopIfTrue="1" operator="lessThan">
      <formula>40</formula>
    </cfRule>
  </conditionalFormatting>
  <conditionalFormatting sqref="I15:I17">
    <cfRule type="expression" dxfId="531" priority="169" stopIfTrue="1">
      <formula>ISBLANK(I15)</formula>
    </cfRule>
    <cfRule type="cellIs" dxfId="530" priority="170" stopIfTrue="1" operator="equal">
      <formula>"No grades yet"</formula>
    </cfRule>
    <cfRule type="cellIs" dxfId="529" priority="171" stopIfTrue="1" operator="greaterThanOrEqual">
      <formula>70</formula>
    </cfRule>
    <cfRule type="cellIs" dxfId="528" priority="172" stopIfTrue="1" operator="between">
      <formula>60</formula>
      <formula>69.999</formula>
    </cfRule>
    <cfRule type="cellIs" dxfId="527" priority="173" stopIfTrue="1" operator="between">
      <formula>50</formula>
      <formula>59.999</formula>
    </cfRule>
    <cfRule type="cellIs" dxfId="526" priority="174" stopIfTrue="1" operator="between">
      <formula>40</formula>
      <formula>49.999</formula>
    </cfRule>
    <cfRule type="cellIs" dxfId="525" priority="175" stopIfTrue="1" operator="lessThan">
      <formula>40</formula>
    </cfRule>
  </conditionalFormatting>
  <conditionalFormatting sqref="L15:L17">
    <cfRule type="expression" dxfId="524" priority="176" stopIfTrue="1">
      <formula>ISBLANK(L15)</formula>
    </cfRule>
    <cfRule type="cellIs" dxfId="523" priority="177" stopIfTrue="1" operator="equal">
      <formula>"No grades yet"</formula>
    </cfRule>
    <cfRule type="cellIs" dxfId="522" priority="178" stopIfTrue="1" operator="greaterThanOrEqual">
      <formula>70</formula>
    </cfRule>
    <cfRule type="cellIs" dxfId="521" priority="179" stopIfTrue="1" operator="between">
      <formula>60</formula>
      <formula>69.999</formula>
    </cfRule>
    <cfRule type="cellIs" dxfId="520" priority="180" stopIfTrue="1" operator="between">
      <formula>50</formula>
      <formula>59.999</formula>
    </cfRule>
    <cfRule type="cellIs" dxfId="519" priority="181" stopIfTrue="1" operator="between">
      <formula>40</formula>
      <formula>49.999</formula>
    </cfRule>
    <cfRule type="cellIs" dxfId="518" priority="182" stopIfTrue="1" operator="lessThan">
      <formula>40</formula>
    </cfRule>
  </conditionalFormatting>
  <conditionalFormatting sqref="I18:I20">
    <cfRule type="expression" dxfId="517" priority="183" stopIfTrue="1">
      <formula>ISBLANK(I18)</formula>
    </cfRule>
    <cfRule type="cellIs" dxfId="516" priority="184" stopIfTrue="1" operator="equal">
      <formula>"No grades yet"</formula>
    </cfRule>
    <cfRule type="cellIs" dxfId="515" priority="185" stopIfTrue="1" operator="greaterThanOrEqual">
      <formula>70</formula>
    </cfRule>
    <cfRule type="cellIs" dxfId="514" priority="186" stopIfTrue="1" operator="between">
      <formula>60</formula>
      <formula>69.999</formula>
    </cfRule>
    <cfRule type="cellIs" dxfId="513" priority="187" stopIfTrue="1" operator="between">
      <formula>50</formula>
      <formula>59.999</formula>
    </cfRule>
    <cfRule type="cellIs" dxfId="512" priority="188" stopIfTrue="1" operator="between">
      <formula>40</formula>
      <formula>49.999</formula>
    </cfRule>
    <cfRule type="cellIs" dxfId="511" priority="189" stopIfTrue="1" operator="lessThan">
      <formula>40</formula>
    </cfRule>
  </conditionalFormatting>
  <conditionalFormatting sqref="L18:L20">
    <cfRule type="expression" dxfId="510" priority="190" stopIfTrue="1">
      <formula>ISBLANK(L18)</formula>
    </cfRule>
    <cfRule type="cellIs" dxfId="509" priority="191" stopIfTrue="1" operator="equal">
      <formula>"No grades yet"</formula>
    </cfRule>
    <cfRule type="cellIs" dxfId="508" priority="192" stopIfTrue="1" operator="greaterThanOrEqual">
      <formula>70</formula>
    </cfRule>
    <cfRule type="cellIs" dxfId="507" priority="193" stopIfTrue="1" operator="between">
      <formula>60</formula>
      <formula>69.999</formula>
    </cfRule>
    <cfRule type="cellIs" dxfId="506" priority="194" stopIfTrue="1" operator="between">
      <formula>50</formula>
      <formula>59.999</formula>
    </cfRule>
    <cfRule type="cellIs" dxfId="505" priority="195" stopIfTrue="1" operator="between">
      <formula>40</formula>
      <formula>49.999</formula>
    </cfRule>
    <cfRule type="cellIs" dxfId="504" priority="196" stopIfTrue="1" operator="lessThan">
      <formula>40</formula>
    </cfRule>
  </conditionalFormatting>
  <conditionalFormatting sqref="I21">
    <cfRule type="expression" dxfId="503" priority="197" stopIfTrue="1">
      <formula>ISBLANK(I21)</formula>
    </cfRule>
    <cfRule type="cellIs" dxfId="502" priority="198" stopIfTrue="1" operator="equal">
      <formula>"No grades yet"</formula>
    </cfRule>
    <cfRule type="cellIs" dxfId="501" priority="199" stopIfTrue="1" operator="greaterThanOrEqual">
      <formula>70</formula>
    </cfRule>
    <cfRule type="cellIs" dxfId="500" priority="200" stopIfTrue="1" operator="between">
      <formula>60</formula>
      <formula>69.999</formula>
    </cfRule>
    <cfRule type="cellIs" dxfId="499" priority="201" stopIfTrue="1" operator="between">
      <formula>50</formula>
      <formula>59.999</formula>
    </cfRule>
    <cfRule type="cellIs" dxfId="498" priority="202" stopIfTrue="1" operator="between">
      <formula>40</formula>
      <formula>49.999</formula>
    </cfRule>
    <cfRule type="cellIs" dxfId="497" priority="203" stopIfTrue="1" operator="lessThan">
      <formula>40</formula>
    </cfRule>
  </conditionalFormatting>
  <conditionalFormatting sqref="L21">
    <cfRule type="expression" dxfId="496" priority="204" stopIfTrue="1">
      <formula>ISBLANK(L21)</formula>
    </cfRule>
    <cfRule type="cellIs" dxfId="495" priority="205" stopIfTrue="1" operator="equal">
      <formula>"No grades yet"</formula>
    </cfRule>
    <cfRule type="cellIs" dxfId="494" priority="206" stopIfTrue="1" operator="greaterThanOrEqual">
      <formula>70</formula>
    </cfRule>
    <cfRule type="cellIs" dxfId="493" priority="207" stopIfTrue="1" operator="between">
      <formula>60</formula>
      <formula>69.999</formula>
    </cfRule>
    <cfRule type="cellIs" dxfId="492" priority="208" stopIfTrue="1" operator="between">
      <formula>50</formula>
      <formula>59.999</formula>
    </cfRule>
    <cfRule type="cellIs" dxfId="491" priority="209" stopIfTrue="1" operator="between">
      <formula>40</formula>
      <formula>49.999</formula>
    </cfRule>
    <cfRule type="cellIs" dxfId="490" priority="210" stopIfTrue="1" operator="lessThan">
      <formula>40</formula>
    </cfRule>
  </conditionalFormatting>
  <conditionalFormatting sqref="I22">
    <cfRule type="expression" dxfId="489" priority="211" stopIfTrue="1">
      <formula>ISBLANK(I22)</formula>
    </cfRule>
    <cfRule type="cellIs" dxfId="488" priority="212" stopIfTrue="1" operator="equal">
      <formula>"No grades yet"</formula>
    </cfRule>
    <cfRule type="cellIs" dxfId="487" priority="213" stopIfTrue="1" operator="greaterThanOrEqual">
      <formula>70</formula>
    </cfRule>
    <cfRule type="cellIs" dxfId="486" priority="214" stopIfTrue="1" operator="between">
      <formula>60</formula>
      <formula>69.999</formula>
    </cfRule>
    <cfRule type="cellIs" dxfId="485" priority="215" stopIfTrue="1" operator="between">
      <formula>50</formula>
      <formula>59.999</formula>
    </cfRule>
    <cfRule type="cellIs" dxfId="484" priority="216" stopIfTrue="1" operator="between">
      <formula>40</formula>
      <formula>49.999</formula>
    </cfRule>
    <cfRule type="cellIs" dxfId="483" priority="217" stopIfTrue="1" operator="lessThan">
      <formula>40</formula>
    </cfRule>
  </conditionalFormatting>
  <conditionalFormatting sqref="L22">
    <cfRule type="expression" dxfId="482" priority="218" stopIfTrue="1">
      <formula>ISBLANK(L22)</formula>
    </cfRule>
    <cfRule type="cellIs" dxfId="481" priority="219" stopIfTrue="1" operator="equal">
      <formula>"No grades yet"</formula>
    </cfRule>
    <cfRule type="cellIs" dxfId="480" priority="220" stopIfTrue="1" operator="greaterThanOrEqual">
      <formula>70</formula>
    </cfRule>
    <cfRule type="cellIs" dxfId="479" priority="221" stopIfTrue="1" operator="between">
      <formula>60</formula>
      <formula>69.999</formula>
    </cfRule>
    <cfRule type="cellIs" dxfId="478" priority="222" stopIfTrue="1" operator="between">
      <formula>50</formula>
      <formula>59.999</formula>
    </cfRule>
    <cfRule type="cellIs" dxfId="477" priority="223" stopIfTrue="1" operator="between">
      <formula>40</formula>
      <formula>49.999</formula>
    </cfRule>
    <cfRule type="cellIs" dxfId="476" priority="224" stopIfTrue="1" operator="lessThan">
      <formula>40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36633-7CA6-448D-A35E-03AE0D3698F9}">
  <sheetPr codeName="Sheet11"/>
  <dimension ref="A1:P26"/>
  <sheetViews>
    <sheetView zoomScale="84" workbookViewId="0">
      <selection activeCell="H26" sqref="H26"/>
    </sheetView>
  </sheetViews>
  <sheetFormatPr defaultRowHeight="13.2"/>
  <cols>
    <col min="1" max="1" width="10.44140625" bestFit="1" customWidth="1"/>
    <col min="2" max="2" width="30.44140625" customWidth="1"/>
    <col min="3" max="4" width="7.88671875" customWidth="1"/>
    <col min="5" max="5" width="11.109375" customWidth="1"/>
    <col min="6" max="6" width="15.77734375" customWidth="1"/>
    <col min="7" max="7" width="7.6640625" customWidth="1"/>
    <col min="8" max="8" width="29.88671875" bestFit="1" customWidth="1"/>
    <col min="9" max="9" width="10.44140625" customWidth="1"/>
    <col min="10" max="10" width="8.44140625" hidden="1" customWidth="1"/>
    <col min="11" max="11" width="7.21875" hidden="1" customWidth="1"/>
    <col min="12" max="12" width="19.21875" customWidth="1"/>
    <col min="13" max="14" width="19.6640625" customWidth="1"/>
    <col min="15" max="15" width="18.109375" customWidth="1"/>
    <col min="16" max="16" width="19.5546875" customWidth="1"/>
  </cols>
  <sheetData>
    <row r="1" spans="1:16" ht="40.799999999999997" customHeight="1" thickTop="1" thickBot="1">
      <c r="A1" s="27" t="s">
        <v>65</v>
      </c>
      <c r="B1" s="28" t="s">
        <v>1</v>
      </c>
      <c r="C1" s="28" t="s">
        <v>0</v>
      </c>
      <c r="D1" s="28" t="s">
        <v>502</v>
      </c>
      <c r="E1" s="28" t="s">
        <v>92</v>
      </c>
      <c r="F1" s="114" t="s">
        <v>224</v>
      </c>
      <c r="G1" s="114"/>
      <c r="H1" s="114"/>
      <c r="I1" s="28" t="s">
        <v>2</v>
      </c>
      <c r="J1" s="28" t="s">
        <v>3</v>
      </c>
      <c r="K1" s="28" t="s">
        <v>4</v>
      </c>
      <c r="L1" s="28" t="s">
        <v>5</v>
      </c>
      <c r="M1" s="28" t="s">
        <v>193</v>
      </c>
      <c r="N1" s="28" t="s">
        <v>7</v>
      </c>
      <c r="O1" s="28" t="s">
        <v>194</v>
      </c>
      <c r="P1" s="29" t="s">
        <v>195</v>
      </c>
    </row>
    <row r="2" spans="1:16" ht="13.8" thickTop="1">
      <c r="A2" s="255" t="s">
        <v>241</v>
      </c>
      <c r="B2" s="252" t="s">
        <v>242</v>
      </c>
      <c r="C2" s="245">
        <v>7.5</v>
      </c>
      <c r="D2" s="236">
        <f>C2/SUM(C2:C21)</f>
        <v>0.12096774193548387</v>
      </c>
      <c r="E2" s="246">
        <v>0.4</v>
      </c>
      <c r="F2" s="247" t="s">
        <v>150</v>
      </c>
      <c r="G2" s="248">
        <v>0.7</v>
      </c>
      <c r="H2" s="247" t="s">
        <v>209</v>
      </c>
      <c r="I2" s="186"/>
      <c r="J2" s="158">
        <f>IF(G2=1, I2, SUMPRODUCT(I2:I4, G2:G4))</f>
        <v>0</v>
      </c>
      <c r="K2" s="158">
        <f>SUMIF(I2:I4, "&lt;&gt;", G2:G4) / SUMIF(G2:G4, "&lt;&gt;")</f>
        <v>0</v>
      </c>
      <c r="L2" s="158" t="str">
        <f>IFERROR(J2/K2, "No grades yet")</f>
        <v>No grades yet</v>
      </c>
      <c r="M2" s="158">
        <f>IFERROR(IF(K2 = 1, "Completed module", IF(((70 - J2) / (1 - K2)) &gt; 100, "Unattainable", IF(((70 - J2) / (1 - K2)) &lt; 0, "Already attained", ((70 - J2) / (1 - K2))))), "-")</f>
        <v>70</v>
      </c>
      <c r="N2" s="158">
        <f>IFERROR(IF(K2 = 1, "Completed module", IF(((60 - J2) / (1 - K2)) &gt; 100, "Unattainable", IF(((60 - J2) / (1 - K2)) &lt; 0, "Already attained", ((60 - J2) / (1 - K2))))), "-")</f>
        <v>60</v>
      </c>
      <c r="O2" s="158">
        <f>IFERROR(IF(K2 = 1, "Completed module", IF(((50 - J2) / (1 - K2)) &gt; 100, "Unattainable", IF(((50 - J2) / (1 - K2)) &lt; 0, "Already attained", ((50 - J2) / (1 - K2))))), "-")</f>
        <v>50</v>
      </c>
      <c r="P2" s="166">
        <f>IFERROR(IF(K2 = 1, "Completed module", IF(((40 - J2) / (1 - K2)) &gt; 100, "Unattainable", IF(((40 - J2) / (1 - K2)) &lt; 0, "Already attained", ((40 - J2) / (1 - K2))))), "-")</f>
        <v>40</v>
      </c>
    </row>
    <row r="3" spans="1:16">
      <c r="A3" s="256"/>
      <c r="B3" s="253"/>
      <c r="C3" s="241"/>
      <c r="D3" s="237"/>
      <c r="E3" s="242"/>
      <c r="F3" s="243" t="s">
        <v>188</v>
      </c>
      <c r="G3" s="244">
        <v>0.2</v>
      </c>
      <c r="H3" s="243" t="s">
        <v>243</v>
      </c>
      <c r="I3" s="185"/>
      <c r="J3" s="148"/>
      <c r="K3" s="148"/>
      <c r="L3" s="148"/>
      <c r="M3" s="148"/>
      <c r="N3" s="148"/>
      <c r="O3" s="148"/>
      <c r="P3" s="167"/>
    </row>
    <row r="4" spans="1:16" ht="13.8" thickBot="1">
      <c r="A4" s="264"/>
      <c r="B4" s="265"/>
      <c r="C4" s="266"/>
      <c r="D4" s="238"/>
      <c r="E4" s="267"/>
      <c r="F4" s="268" t="s">
        <v>188</v>
      </c>
      <c r="G4" s="269">
        <v>0.1</v>
      </c>
      <c r="H4" s="268" t="s">
        <v>244</v>
      </c>
      <c r="I4" s="212"/>
      <c r="J4" s="183"/>
      <c r="K4" s="183"/>
      <c r="L4" s="183"/>
      <c r="M4" s="183"/>
      <c r="N4" s="183"/>
      <c r="O4" s="183"/>
      <c r="P4" s="184"/>
    </row>
    <row r="5" spans="1:16" ht="13.8" thickTop="1">
      <c r="A5" s="255" t="s">
        <v>245</v>
      </c>
      <c r="B5" s="252" t="s">
        <v>246</v>
      </c>
      <c r="C5" s="262">
        <v>5</v>
      </c>
      <c r="D5" s="236">
        <f>C5/SUM(C2:C21)</f>
        <v>8.0645161290322578E-2</v>
      </c>
      <c r="E5" s="246">
        <v>0.4</v>
      </c>
      <c r="F5" s="247" t="s">
        <v>150</v>
      </c>
      <c r="G5" s="248">
        <v>0.6</v>
      </c>
      <c r="H5" s="247" t="s">
        <v>209</v>
      </c>
      <c r="I5" s="186"/>
      <c r="J5" s="158">
        <f>IF(G5=1, I5, SUMPRODUCT(I5:I6, G5:G6))</f>
        <v>0</v>
      </c>
      <c r="K5" s="158">
        <f>SUMIF(I5:I6, "&lt;&gt;", G5:G6) / SUMIF(G5:G6, "&lt;&gt;")</f>
        <v>0</v>
      </c>
      <c r="L5" s="158" t="str">
        <f>IFERROR(J5/K5, "No grades yet")</f>
        <v>No grades yet</v>
      </c>
      <c r="M5" s="158">
        <f>IFERROR(IF(K5 = 1, "Completed module", IF(((70 - J5) / (1 - K5)) &gt; 100, "Unattainable", IF(((70 - J5) / (1 - K5)) &lt; 0, "Already attained", ((70 - J5) / (1 - K5))))), "-")</f>
        <v>70</v>
      </c>
      <c r="N5" s="158">
        <f>IFERROR(IF(K5 = 1, "Completed module", IF(((60 - J5) / (1 - K5)) &gt; 100, "Unattainable", IF(((60 - J5) / (1 - K5)) &lt; 0, "Already attained", ((60 - J5) / (1 - K5))))), "-")</f>
        <v>60</v>
      </c>
      <c r="O5" s="158">
        <f>IFERROR(IF(K5 = 1, "Completed module", IF(((50 - J5) / (1 - K5)) &gt; 100, "Unattainable", IF(((50 - J5) / (1 - K5)) &lt; 0, "Already attained", ((50 - J5) / (1 - K5))))), "-")</f>
        <v>50</v>
      </c>
      <c r="P5" s="166">
        <f>IFERROR(IF(K5 = 1, "Completed module", IF(((40 - J5) / (1 - K5)) &gt; 100, "Unattainable", IF(((40 - J5) / (1 - K5)) &lt; 0, "Already attained", ((40 - J5) / (1 - K5))))), "-")</f>
        <v>40</v>
      </c>
    </row>
    <row r="6" spans="1:16" ht="13.8" thickBot="1">
      <c r="A6" s="264"/>
      <c r="B6" s="265"/>
      <c r="C6" s="270"/>
      <c r="D6" s="238"/>
      <c r="E6" s="267"/>
      <c r="F6" s="268" t="s">
        <v>247</v>
      </c>
      <c r="G6" s="269">
        <v>0.4</v>
      </c>
      <c r="H6" s="268" t="s">
        <v>248</v>
      </c>
      <c r="I6" s="212"/>
      <c r="J6" s="183"/>
      <c r="K6" s="183"/>
      <c r="L6" s="183"/>
      <c r="M6" s="183"/>
      <c r="N6" s="183"/>
      <c r="O6" s="183"/>
      <c r="P6" s="184"/>
    </row>
    <row r="7" spans="1:16" ht="13.8" thickTop="1">
      <c r="A7" s="255" t="s">
        <v>258</v>
      </c>
      <c r="B7" s="252" t="s">
        <v>259</v>
      </c>
      <c r="C7" s="262">
        <v>5</v>
      </c>
      <c r="D7" s="236">
        <f>C7/SUM(C2:C21)</f>
        <v>8.0645161290322578E-2</v>
      </c>
      <c r="E7" s="246">
        <v>0.4</v>
      </c>
      <c r="F7" s="247" t="s">
        <v>150</v>
      </c>
      <c r="G7" s="248">
        <v>0.5</v>
      </c>
      <c r="H7" s="247" t="s">
        <v>225</v>
      </c>
      <c r="I7" s="186"/>
      <c r="J7" s="158">
        <f>IF(G7=1, I7, SUMPRODUCT(I7:I8, G7:G8))</f>
        <v>0</v>
      </c>
      <c r="K7" s="158">
        <f>SUMIF(I7:I8, "&lt;&gt;", G7:G8) / SUMIF(G7:G8, "&lt;&gt;")</f>
        <v>0</v>
      </c>
      <c r="L7" s="158" t="str">
        <f>IFERROR(J7/K7, "No grades yet")</f>
        <v>No grades yet</v>
      </c>
      <c r="M7" s="158">
        <f>IFERROR(IF(K7 = 1, "Completed module", IF(((70 - J7) / (1 - K7)) &gt; 100, "Unattainable", IF(((70 - J7) / (1 - K7)) &lt; 0, "Already attained", ((70 - J7) / (1 - K7))))), "-")</f>
        <v>70</v>
      </c>
      <c r="N7" s="158">
        <f>IFERROR(IF(K7 = 1, "Completed module", IF(((60 - J7) / (1 - K7)) &gt; 100, "Unattainable", IF(((60 - J7) / (1 - K7)) &lt; 0, "Already attained", ((60 - J7) / (1 - K7))))), "-")</f>
        <v>60</v>
      </c>
      <c r="O7" s="158">
        <f>IFERROR(IF(K7 = 1, "Completed module", IF(((50 - J7) / (1 - K7)) &gt; 100, "Unattainable", IF(((50 - J7) / (1 - K7)) &lt; 0, "Already attained", ((50 - J7) / (1 - K7))))), "-")</f>
        <v>50</v>
      </c>
      <c r="P7" s="166">
        <f>IFERROR(IF(K7 = 1, "Completed module", IF(((40 - J7) / (1 - K7)) &gt; 100, "Unattainable", IF(((40 - J7) / (1 - K7)) &lt; 0, "Already attained", ((40 - J7) / (1 - K7))))), "-")</f>
        <v>40</v>
      </c>
    </row>
    <row r="8" spans="1:16" ht="13.8" thickBot="1">
      <c r="A8" s="264"/>
      <c r="B8" s="265"/>
      <c r="C8" s="270"/>
      <c r="D8" s="238"/>
      <c r="E8" s="267"/>
      <c r="F8" s="268" t="s">
        <v>212</v>
      </c>
      <c r="G8" s="269">
        <v>0.5</v>
      </c>
      <c r="H8" s="268" t="s">
        <v>260</v>
      </c>
      <c r="I8" s="212"/>
      <c r="J8" s="183"/>
      <c r="K8" s="183"/>
      <c r="L8" s="183"/>
      <c r="M8" s="183"/>
      <c r="N8" s="183"/>
      <c r="O8" s="183"/>
      <c r="P8" s="184"/>
    </row>
    <row r="9" spans="1:16" ht="13.8" thickTop="1">
      <c r="A9" s="255" t="s">
        <v>261</v>
      </c>
      <c r="B9" s="252" t="s">
        <v>262</v>
      </c>
      <c r="C9" s="245">
        <v>7.5</v>
      </c>
      <c r="D9" s="236">
        <f>C9/SUM(C2:C21)</f>
        <v>0.12096774193548387</v>
      </c>
      <c r="E9" s="246">
        <v>0.4</v>
      </c>
      <c r="F9" s="247" t="s">
        <v>233</v>
      </c>
      <c r="G9" s="248">
        <v>0.125</v>
      </c>
      <c r="H9" s="247" t="s">
        <v>263</v>
      </c>
      <c r="I9" s="186"/>
      <c r="J9" s="158">
        <f>IF(G9=1, I9, SUMPRODUCT(I9:I13, G9:G13))</f>
        <v>0</v>
      </c>
      <c r="K9" s="158">
        <f>SUMIF(I9:I13, "&lt;&gt;", G9:G13) / SUMIF(G9:G13, "&lt;&gt;")</f>
        <v>0</v>
      </c>
      <c r="L9" s="158" t="str">
        <f>IFERROR(J9/K9, "No grades yet")</f>
        <v>No grades yet</v>
      </c>
      <c r="M9" s="158">
        <f>IFERROR(IF(K9 = 1, "Completed module", IF(((70 - J9) / (1 - K9)) &gt; 100, "Unattainable", IF(((70 - J9) / (1 - K9)) &lt; 0, "Already attained", ((70 - J9) / (1 - K9))))), "-")</f>
        <v>70</v>
      </c>
      <c r="N9" s="158">
        <f>IFERROR(IF(K9 = 1, "Completed module", IF(((60 - J9) / (1 - K9)) &gt; 100, "Unattainable", IF(((60 - J9) / (1 - K9)) &lt; 0, "Already attained", ((60 - J9) / (1 - K9))))), "-")</f>
        <v>60</v>
      </c>
      <c r="O9" s="158">
        <f>IFERROR(IF(K9 = 1, "Completed module", IF(((50 - J9) / (1 - K9)) &gt; 100, "Unattainable", IF(((50 - J9) / (1 - K9)) &lt; 0, "Already attained", ((50 - J9) / (1 - K9))))), "-")</f>
        <v>50</v>
      </c>
      <c r="P9" s="166">
        <f>IFERROR(IF(K9 = 1, "Completed module", IF(((40 - J9) / (1 - K9)) &gt; 100, "Unattainable", IF(((40 - J9) / (1 - K9)) &lt; 0, "Already attained", ((40 - J9) / (1 - K9))))), "-")</f>
        <v>40</v>
      </c>
    </row>
    <row r="10" spans="1:16">
      <c r="A10" s="256"/>
      <c r="B10" s="253"/>
      <c r="C10" s="241"/>
      <c r="D10" s="237"/>
      <c r="E10" s="242"/>
      <c r="F10" s="243" t="s">
        <v>233</v>
      </c>
      <c r="G10" s="244">
        <v>0.125</v>
      </c>
      <c r="H10" s="243" t="s">
        <v>264</v>
      </c>
      <c r="I10" s="185"/>
      <c r="J10" s="148"/>
      <c r="K10" s="148"/>
      <c r="L10" s="148"/>
      <c r="M10" s="148"/>
      <c r="N10" s="148"/>
      <c r="O10" s="148"/>
      <c r="P10" s="167"/>
    </row>
    <row r="11" spans="1:16">
      <c r="A11" s="256"/>
      <c r="B11" s="253"/>
      <c r="C11" s="241"/>
      <c r="D11" s="237"/>
      <c r="E11" s="242"/>
      <c r="F11" s="243" t="s">
        <v>265</v>
      </c>
      <c r="G11" s="244">
        <v>0.2</v>
      </c>
      <c r="H11" s="243" t="s">
        <v>266</v>
      </c>
      <c r="I11" s="185"/>
      <c r="J11" s="148"/>
      <c r="K11" s="148"/>
      <c r="L11" s="148"/>
      <c r="M11" s="148"/>
      <c r="N11" s="148"/>
      <c r="O11" s="148"/>
      <c r="P11" s="167"/>
    </row>
    <row r="12" spans="1:16">
      <c r="A12" s="256"/>
      <c r="B12" s="253"/>
      <c r="C12" s="241"/>
      <c r="D12" s="237"/>
      <c r="E12" s="242"/>
      <c r="F12" s="243" t="s">
        <v>188</v>
      </c>
      <c r="G12" s="244">
        <v>0.25</v>
      </c>
      <c r="H12" s="243" t="s">
        <v>188</v>
      </c>
      <c r="I12" s="185"/>
      <c r="J12" s="148"/>
      <c r="K12" s="148"/>
      <c r="L12" s="148"/>
      <c r="M12" s="148"/>
      <c r="N12" s="148"/>
      <c r="O12" s="148"/>
      <c r="P12" s="167"/>
    </row>
    <row r="13" spans="1:16" ht="27" thickBot="1">
      <c r="A13" s="264"/>
      <c r="B13" s="265"/>
      <c r="C13" s="266"/>
      <c r="D13" s="238"/>
      <c r="E13" s="267"/>
      <c r="F13" s="268" t="s">
        <v>199</v>
      </c>
      <c r="G13" s="269">
        <v>0.3</v>
      </c>
      <c r="H13" s="268" t="s">
        <v>267</v>
      </c>
      <c r="I13" s="212"/>
      <c r="J13" s="183"/>
      <c r="K13" s="183"/>
      <c r="L13" s="183"/>
      <c r="M13" s="183"/>
      <c r="N13" s="183"/>
      <c r="O13" s="183"/>
      <c r="P13" s="184"/>
    </row>
    <row r="14" spans="1:16" ht="14.4" thickTop="1" thickBot="1">
      <c r="A14" s="275" t="s">
        <v>268</v>
      </c>
      <c r="B14" s="276" t="s">
        <v>269</v>
      </c>
      <c r="C14" s="277">
        <v>5</v>
      </c>
      <c r="D14" s="239">
        <f>C14/SUM(C2:C21)</f>
        <v>8.0645161290322578E-2</v>
      </c>
      <c r="E14" s="278">
        <v>0.4</v>
      </c>
      <c r="F14" s="279" t="s">
        <v>199</v>
      </c>
      <c r="G14" s="280">
        <v>1</v>
      </c>
      <c r="H14" s="279" t="s">
        <v>270</v>
      </c>
      <c r="I14" s="233"/>
      <c r="J14" s="234">
        <f>IF(G14=1, I14, SUMPRODUCT(I14:I14, G14:G14))</f>
        <v>0</v>
      </c>
      <c r="K14" s="234">
        <f>SUMIF(I14:I14, "&lt;&gt;", G14:G14) / SUMIF(G14:G14, "&lt;&gt;")</f>
        <v>0</v>
      </c>
      <c r="L14" s="234" t="str">
        <f>IFERROR(J14/K14, "No grades yet")</f>
        <v>No grades yet</v>
      </c>
      <c r="M14" s="234">
        <f>IFERROR(IF(K14 = 1, "Completed module", IF(((70 - J14) / (1 - K14)) &gt; 100, "Unattainable", IF(((70 - J14) / (1 - K14)) &lt; 0, "Already attained", ((70 - J14) / (1 - K14))))), "-")</f>
        <v>70</v>
      </c>
      <c r="N14" s="234">
        <f>IFERROR(IF(K14 = 1, "Completed module", IF(((60 - J14) / (1 - K14)) &gt; 100, "Unattainable", IF(((60 - J14) / (1 - K14)) &lt; 0, "Already attained", ((60 - J14) / (1 - K14))))), "-")</f>
        <v>60</v>
      </c>
      <c r="O14" s="234">
        <f>IFERROR(IF(K14 = 1, "Completed module", IF(((50 - J14) / (1 - K14)) &gt; 100, "Unattainable", IF(((50 - J14) / (1 - K14)) &lt; 0, "Already attained", ((50 - J14) / (1 - K14))))), "-")</f>
        <v>50</v>
      </c>
      <c r="P14" s="235">
        <f>IFERROR(IF(K14 = 1, "Completed module", IF(((40 - J14) / (1 - K14)) &gt; 100, "Unattainable", IF(((40 - J14) / (1 - K14)) &lt; 0, "Already attained", ((40 - J14) / (1 - K14))))), "-")</f>
        <v>40</v>
      </c>
    </row>
    <row r="15" spans="1:16" ht="40.799999999999997" thickTop="1" thickBot="1">
      <c r="A15" s="275" t="s">
        <v>271</v>
      </c>
      <c r="B15" s="276" t="s">
        <v>272</v>
      </c>
      <c r="C15" s="277">
        <v>10</v>
      </c>
      <c r="D15" s="239">
        <f>C15/SUM(C2:C21)</f>
        <v>0.16129032258064516</v>
      </c>
      <c r="E15" s="278">
        <v>0.4</v>
      </c>
      <c r="F15" s="279" t="s">
        <v>199</v>
      </c>
      <c r="G15" s="280">
        <v>1</v>
      </c>
      <c r="H15" s="279" t="s">
        <v>273</v>
      </c>
      <c r="I15" s="233"/>
      <c r="J15" s="234">
        <f>IF(G15=1, I15, SUMPRODUCT(I15:I15, G15:G15))</f>
        <v>0</v>
      </c>
      <c r="K15" s="234">
        <f>SUMIF(I15:I15, "&lt;&gt;", G15:G15) / SUMIF(G15:G15, "&lt;&gt;")</f>
        <v>0</v>
      </c>
      <c r="L15" s="234" t="str">
        <f>IFERROR(J15/K15, "No grades yet")</f>
        <v>No grades yet</v>
      </c>
      <c r="M15" s="234">
        <f>IFERROR(IF(K15 = 1, "Completed module", IF(((70 - J15) / (1 - K15)) &gt; 100, "Unattainable", IF(((70 - J15) / (1 - K15)) &lt; 0, "Already attained", ((70 - J15) / (1 - K15))))), "-")</f>
        <v>70</v>
      </c>
      <c r="N15" s="234">
        <f>IFERROR(IF(K15 = 1, "Completed module", IF(((60 - J15) / (1 - K15)) &gt; 100, "Unattainable", IF(((60 - J15) / (1 - K15)) &lt; 0, "Already attained", ((60 - J15) / (1 - K15))))), "-")</f>
        <v>60</v>
      </c>
      <c r="O15" s="234">
        <f>IFERROR(IF(K15 = 1, "Completed module", IF(((50 - J15) / (1 - K15)) &gt; 100, "Unattainable", IF(((50 - J15) / (1 - K15)) &lt; 0, "Already attained", ((50 - J15) / (1 - K15))))), "-")</f>
        <v>50</v>
      </c>
      <c r="P15" s="235">
        <f>IFERROR(IF(K15 = 1, "Completed module", IF(((40 - J15) / (1 - K15)) &gt; 100, "Unattainable", IF(((40 - J15) / (1 - K15)) &lt; 0, "Already attained", ((40 - J15) / (1 - K15))))), "-")</f>
        <v>40</v>
      </c>
    </row>
    <row r="16" spans="1:16" ht="13.8" thickTop="1">
      <c r="A16" s="255" t="s">
        <v>274</v>
      </c>
      <c r="B16" s="252" t="s">
        <v>275</v>
      </c>
      <c r="C16" s="262">
        <v>5</v>
      </c>
      <c r="D16" s="236">
        <f>C16/SUM(C2:C21)</f>
        <v>8.0645161290322578E-2</v>
      </c>
      <c r="E16" s="246">
        <v>0.4</v>
      </c>
      <c r="F16" s="247" t="s">
        <v>199</v>
      </c>
      <c r="G16" s="248">
        <v>0.4</v>
      </c>
      <c r="H16" s="247" t="s">
        <v>276</v>
      </c>
      <c r="I16" s="186"/>
      <c r="J16" s="158">
        <f>IF(G16=1, I16, SUMPRODUCT(I16:I17, G16:G17))</f>
        <v>0</v>
      </c>
      <c r="K16" s="158">
        <f>SUMIF(I16:I17, "&lt;&gt;", G16:G17) / SUMIF(G16:G17, "&lt;&gt;")</f>
        <v>0</v>
      </c>
      <c r="L16" s="158" t="str">
        <f>IFERROR(J16/K16, "No grades yet")</f>
        <v>No grades yet</v>
      </c>
      <c r="M16" s="158">
        <f>IFERROR(IF(K16 = 1, "Completed module", IF(((70 - J16) / (1 - K16)) &gt; 100, "Unattainable", IF(((70 - J16) / (1 - K16)) &lt; 0, "Already attained", ((70 - J16) / (1 - K16))))), "-")</f>
        <v>70</v>
      </c>
      <c r="N16" s="158">
        <f>IFERROR(IF(K16 = 1, "Completed module", IF(((60 - J16) / (1 - K16)) &gt; 100, "Unattainable", IF(((60 - J16) / (1 - K16)) &lt; 0, "Already attained", ((60 - J16) / (1 - K16))))), "-")</f>
        <v>60</v>
      </c>
      <c r="O16" s="158">
        <f>IFERROR(IF(K16 = 1, "Completed module", IF(((50 - J16) / (1 - K16)) &gt; 100, "Unattainable", IF(((50 - J16) / (1 - K16)) &lt; 0, "Already attained", ((50 - J16) / (1 - K16))))), "-")</f>
        <v>50</v>
      </c>
      <c r="P16" s="166">
        <f>IFERROR(IF(K16 = 1, "Completed module", IF(((40 - J16) / (1 - K16)) &gt; 100, "Unattainable", IF(((40 - J16) / (1 - K16)) &lt; 0, "Already attained", ((40 - J16) / (1 - K16))))), "-")</f>
        <v>40</v>
      </c>
    </row>
    <row r="17" spans="1:16" ht="13.8" thickBot="1">
      <c r="A17" s="264"/>
      <c r="B17" s="265"/>
      <c r="C17" s="270"/>
      <c r="D17" s="238"/>
      <c r="E17" s="267"/>
      <c r="F17" s="268" t="s">
        <v>201</v>
      </c>
      <c r="G17" s="269">
        <v>0.6</v>
      </c>
      <c r="H17" s="268" t="s">
        <v>277</v>
      </c>
      <c r="I17" s="212"/>
      <c r="J17" s="183"/>
      <c r="K17" s="183"/>
      <c r="L17" s="183"/>
      <c r="M17" s="183"/>
      <c r="N17" s="183"/>
      <c r="O17" s="183"/>
      <c r="P17" s="184"/>
    </row>
    <row r="18" spans="1:16" ht="13.8" thickTop="1">
      <c r="A18" s="255" t="s">
        <v>249</v>
      </c>
      <c r="B18" s="252" t="s">
        <v>250</v>
      </c>
      <c r="C18" s="262">
        <v>5</v>
      </c>
      <c r="D18" s="236">
        <f>C18/SUM(C2:C21)</f>
        <v>8.0645161290322578E-2</v>
      </c>
      <c r="E18" s="246">
        <v>0.4</v>
      </c>
      <c r="F18" s="247" t="s">
        <v>150</v>
      </c>
      <c r="G18" s="248">
        <v>0.8</v>
      </c>
      <c r="H18" s="247" t="s">
        <v>209</v>
      </c>
      <c r="I18" s="186"/>
      <c r="J18" s="158">
        <f>IF(G18=1, I18, SUMPRODUCT(I18:I19, G18:G19))</f>
        <v>0</v>
      </c>
      <c r="K18" s="158">
        <f>SUMIF(I18:I19, "&lt;&gt;", G18:G19) / SUMIF(G18:G19, "&lt;&gt;")</f>
        <v>0</v>
      </c>
      <c r="L18" s="158" t="str">
        <f>IFERROR(J18/K18, "No grades yet")</f>
        <v>No grades yet</v>
      </c>
      <c r="M18" s="158">
        <f>IFERROR(IF(K18 = 1, "Completed module", IF(((70 - J18) / (1 - K18)) &gt; 100, "Unattainable", IF(((70 - J18) / (1 - K18)) &lt; 0, "Already attained", ((70 - J18) / (1 - K18))))), "-")</f>
        <v>70</v>
      </c>
      <c r="N18" s="158">
        <f>IFERROR(IF(K18 = 1, "Completed module", IF(((60 - J18) / (1 - K18)) &gt; 100, "Unattainable", IF(((60 - J18) / (1 - K18)) &lt; 0, "Already attained", ((60 - J18) / (1 - K18))))), "-")</f>
        <v>60</v>
      </c>
      <c r="O18" s="158">
        <f>IFERROR(IF(K18 = 1, "Completed module", IF(((50 - J18) / (1 - K18)) &gt; 100, "Unattainable", IF(((50 - J18) / (1 - K18)) &lt; 0, "Already attained", ((50 - J18) / (1 - K18))))), "-")</f>
        <v>50</v>
      </c>
      <c r="P18" s="166">
        <f>IFERROR(IF(K18 = 1, "Completed module", IF(((40 - J18) / (1 - K18)) &gt; 100, "Unattainable", IF(((40 - J18) / (1 - K18)) &lt; 0, "Already attained", ((40 - J18) / (1 - K18))))), "-")</f>
        <v>40</v>
      </c>
    </row>
    <row r="19" spans="1:16" ht="13.8" thickBot="1">
      <c r="A19" s="264"/>
      <c r="B19" s="265"/>
      <c r="C19" s="270"/>
      <c r="D19" s="238"/>
      <c r="E19" s="267"/>
      <c r="F19" s="268" t="s">
        <v>251</v>
      </c>
      <c r="G19" s="269">
        <v>0.2</v>
      </c>
      <c r="H19" s="268" t="s">
        <v>252</v>
      </c>
      <c r="I19" s="212"/>
      <c r="J19" s="183"/>
      <c r="K19" s="183"/>
      <c r="L19" s="183"/>
      <c r="M19" s="183"/>
      <c r="N19" s="183"/>
      <c r="O19" s="183"/>
      <c r="P19" s="184"/>
    </row>
    <row r="20" spans="1:16" ht="40.799999999999997" thickTop="1" thickBot="1">
      <c r="A20" s="275" t="s">
        <v>253</v>
      </c>
      <c r="B20" s="276" t="s">
        <v>254</v>
      </c>
      <c r="C20" s="277">
        <v>6</v>
      </c>
      <c r="D20" s="239">
        <f>C20/SUM(C2:C21)</f>
        <v>9.6774193548387094E-2</v>
      </c>
      <c r="E20" s="278">
        <v>0.4</v>
      </c>
      <c r="F20" s="283" t="s">
        <v>255</v>
      </c>
      <c r="G20" s="284"/>
      <c r="H20" s="283"/>
      <c r="I20" s="233"/>
      <c r="J20" s="234" t="e">
        <f>IF(G20=1, I20, SUMPRODUCT(I20:I20, G20:G20))</f>
        <v>#VALUE!</v>
      </c>
      <c r="K20" s="234" t="e">
        <f>SUMIF(I20:I20, "&lt;&gt;", G20:G20) / SUMIF(G20:G20, "&lt;&gt;")</f>
        <v>#DIV/0!</v>
      </c>
      <c r="L20" s="234" t="str">
        <f>IFERROR(J20/K20, "No grades yet")</f>
        <v>No grades yet</v>
      </c>
      <c r="M20" s="234" t="str">
        <f>IFERROR(IF(K20 = 1, "Completed module", IF(((70 - J20) / (1 - K20)) &gt; 100, "Unattainable", IF(((70 - J20) / (1 - K20)) &lt; 0, "Already attained", ((70 - J20) / (1 - K20))))), "-")</f>
        <v>-</v>
      </c>
      <c r="N20" s="234" t="str">
        <f>IFERROR(IF(K20 = 1, "Completed module", IF(((60 - J20) / (1 - K20)) &gt; 100, "Unattainable", IF(((60 - J20) / (1 - K20)) &lt; 0, "Already attained", ((60 - J20) / (1 - K20))))), "-")</f>
        <v>-</v>
      </c>
      <c r="O20" s="234" t="str">
        <f>IFERROR(IF(K20 = 1, "Completed module", IF(((50 - J20) / (1 - K20)) &gt; 100, "Unattainable", IF(((50 - J20) / (1 - K20)) &lt; 0, "Already attained", ((50 - J20) / (1 - K20))))), "-")</f>
        <v>-</v>
      </c>
      <c r="P20" s="235" t="str">
        <f>IFERROR(IF(K20 = 1, "Completed module", IF(((40 - J20) / (1 - K20)) &gt; 100, "Unattainable", IF(((40 - J20) / (1 - K20)) &lt; 0, "Already attained", ((40 - J20) / (1 - K20))))), "-")</f>
        <v>-</v>
      </c>
    </row>
    <row r="21" spans="1:16" ht="40.799999999999997" thickTop="1" thickBot="1">
      <c r="A21" s="274" t="s">
        <v>256</v>
      </c>
      <c r="B21" s="273" t="s">
        <v>257</v>
      </c>
      <c r="C21" s="271">
        <v>6</v>
      </c>
      <c r="D21" s="240">
        <f>C21/SUM(C2:C21)</f>
        <v>9.6774193548387094E-2</v>
      </c>
      <c r="E21" s="272">
        <v>0.4</v>
      </c>
      <c r="F21" s="281" t="s">
        <v>255</v>
      </c>
      <c r="G21" s="282"/>
      <c r="H21" s="281"/>
      <c r="I21" s="222"/>
      <c r="J21" s="223" t="e">
        <f>IF(G21=1, I21, SUMPRODUCT(I21:I21, G21:G21))</f>
        <v>#VALUE!</v>
      </c>
      <c r="K21" s="223" t="e">
        <f>SUMIF(I21:I21, "&lt;&gt;", G21:G21) / SUMIF(G21:G21, "&lt;&gt;")</f>
        <v>#DIV/0!</v>
      </c>
      <c r="L21" s="223" t="str">
        <f>IFERROR(J21/K21, "No grades yet")</f>
        <v>No grades yet</v>
      </c>
      <c r="M21" s="223" t="str">
        <f>IFERROR(IF(K21 = 1, "Completed module", IF(((70 - J21) / (1 - K21)) &gt; 100, "Unattainable", IF(((70 - J21) / (1 - K21)) &lt; 0, "Already attained", ((70 - J21) / (1 - K21))))), "-")</f>
        <v>-</v>
      </c>
      <c r="N21" s="223" t="str">
        <f>IFERROR(IF(K21 = 1, "Completed module", IF(((60 - J21) / (1 - K21)) &gt; 100, "Unattainable", IF(((60 - J21) / (1 - K21)) &lt; 0, "Already attained", ((60 - J21) / (1 - K21))))), "-")</f>
        <v>-</v>
      </c>
      <c r="O21" s="223" t="str">
        <f>IFERROR(IF(K21 = 1, "Completed module", IF(((50 - J21) / (1 - K21)) &gt; 100, "Unattainable", IF(((50 - J21) / (1 - K21)) &lt; 0, "Already attained", ((50 - J21) / (1 - K21))))), "-")</f>
        <v>-</v>
      </c>
      <c r="P21" s="224" t="str">
        <f>IFERROR(IF(K21 = 1, "Completed module", IF(((40 - J21) / (1 - K21)) &gt; 100, "Unattainable", IF(((40 - J21) / (1 - K21)) &lt; 0, "Already attained", ((40 - J21) / (1 - K21))))), "-")</f>
        <v>-</v>
      </c>
    </row>
    <row r="22" spans="1:16" ht="13.8" thickTop="1"/>
    <row r="26" spans="1:16">
      <c r="C26" s="285"/>
    </row>
  </sheetData>
  <mergeCells count="73">
    <mergeCell ref="A18:A19"/>
    <mergeCell ref="B18:B19"/>
    <mergeCell ref="C18:C19"/>
    <mergeCell ref="E18:E19"/>
    <mergeCell ref="A9:A13"/>
    <mergeCell ref="B9:B13"/>
    <mergeCell ref="C9:C13"/>
    <mergeCell ref="E9:E13"/>
    <mergeCell ref="A16:A17"/>
    <mergeCell ref="B16:B17"/>
    <mergeCell ref="C16:C17"/>
    <mergeCell ref="E16:E17"/>
    <mergeCell ref="D9:D13"/>
    <mergeCell ref="D16:D17"/>
    <mergeCell ref="D18:D19"/>
    <mergeCell ref="A5:A6"/>
    <mergeCell ref="B5:B6"/>
    <mergeCell ref="C5:C6"/>
    <mergeCell ref="E5:E6"/>
    <mergeCell ref="A7:A8"/>
    <mergeCell ref="B7:B8"/>
    <mergeCell ref="C7:C8"/>
    <mergeCell ref="E7:E8"/>
    <mergeCell ref="D5:D6"/>
    <mergeCell ref="D7:D8"/>
    <mergeCell ref="A2:A4"/>
    <mergeCell ref="B2:B4"/>
    <mergeCell ref="C2:C4"/>
    <mergeCell ref="E2:E4"/>
    <mergeCell ref="F1:H1"/>
    <mergeCell ref="D2:D4"/>
    <mergeCell ref="J2:J4"/>
    <mergeCell ref="K2:K4"/>
    <mergeCell ref="L2:L4"/>
    <mergeCell ref="M2:M4"/>
    <mergeCell ref="N2:N4"/>
    <mergeCell ref="J5:J6"/>
    <mergeCell ref="K5:K6"/>
    <mergeCell ref="L5:L6"/>
    <mergeCell ref="M5:M6"/>
    <mergeCell ref="N5:N6"/>
    <mergeCell ref="L18:L19"/>
    <mergeCell ref="M18:M19"/>
    <mergeCell ref="N18:N19"/>
    <mergeCell ref="O2:O4"/>
    <mergeCell ref="P2:P4"/>
    <mergeCell ref="O5:O6"/>
    <mergeCell ref="P5:P6"/>
    <mergeCell ref="O18:O19"/>
    <mergeCell ref="P18:P19"/>
    <mergeCell ref="O7:O8"/>
    <mergeCell ref="P7:P8"/>
    <mergeCell ref="J7:J8"/>
    <mergeCell ref="K7:K8"/>
    <mergeCell ref="L7:L8"/>
    <mergeCell ref="M7:M8"/>
    <mergeCell ref="N7:N8"/>
    <mergeCell ref="J18:J19"/>
    <mergeCell ref="K18:K19"/>
    <mergeCell ref="O9:O13"/>
    <mergeCell ref="P9:P13"/>
    <mergeCell ref="J16:J17"/>
    <mergeCell ref="K16:K17"/>
    <mergeCell ref="L16:L17"/>
    <mergeCell ref="M16:M17"/>
    <mergeCell ref="N16:N17"/>
    <mergeCell ref="O16:O17"/>
    <mergeCell ref="P16:P17"/>
    <mergeCell ref="J9:J13"/>
    <mergeCell ref="K9:K13"/>
    <mergeCell ref="L9:L13"/>
    <mergeCell ref="M9:M13"/>
    <mergeCell ref="N9:N13"/>
  </mergeCells>
  <conditionalFormatting sqref="I2:I4">
    <cfRule type="expression" dxfId="335" priority="155" stopIfTrue="1">
      <formula>ISBLANK(I2)</formula>
    </cfRule>
    <cfRule type="cellIs" dxfId="334" priority="156" stopIfTrue="1" operator="equal">
      <formula>"No grades yet"</formula>
    </cfRule>
    <cfRule type="cellIs" dxfId="333" priority="157" stopIfTrue="1" operator="greaterThanOrEqual">
      <formula>70</formula>
    </cfRule>
    <cfRule type="cellIs" dxfId="332" priority="158" stopIfTrue="1" operator="between">
      <formula>60</formula>
      <formula>69.999</formula>
    </cfRule>
    <cfRule type="cellIs" dxfId="331" priority="159" stopIfTrue="1" operator="between">
      <formula>50</formula>
      <formula>59.999</formula>
    </cfRule>
    <cfRule type="cellIs" dxfId="330" priority="160" stopIfTrue="1" operator="between">
      <formula>40</formula>
      <formula>49.999</formula>
    </cfRule>
    <cfRule type="cellIs" dxfId="329" priority="161" stopIfTrue="1" operator="lessThan">
      <formula>40</formula>
    </cfRule>
  </conditionalFormatting>
  <conditionalFormatting sqref="L2:L4">
    <cfRule type="expression" dxfId="328" priority="162" stopIfTrue="1">
      <formula>ISBLANK(L2)</formula>
    </cfRule>
    <cfRule type="cellIs" dxfId="327" priority="163" stopIfTrue="1" operator="equal">
      <formula>"No grades yet"</formula>
    </cfRule>
    <cfRule type="cellIs" dxfId="326" priority="164" stopIfTrue="1" operator="greaterThanOrEqual">
      <formula>70</formula>
    </cfRule>
    <cfRule type="cellIs" dxfId="325" priority="165" stopIfTrue="1" operator="between">
      <formula>60</formula>
      <formula>69.999</formula>
    </cfRule>
    <cfRule type="cellIs" dxfId="324" priority="166" stopIfTrue="1" operator="between">
      <formula>50</formula>
      <formula>59.999</formula>
    </cfRule>
    <cfRule type="cellIs" dxfId="323" priority="167" stopIfTrue="1" operator="between">
      <formula>40</formula>
      <formula>49.999</formula>
    </cfRule>
    <cfRule type="cellIs" dxfId="322" priority="168" stopIfTrue="1" operator="lessThan">
      <formula>40</formula>
    </cfRule>
  </conditionalFormatting>
  <conditionalFormatting sqref="I5:I6">
    <cfRule type="expression" dxfId="321" priority="169" stopIfTrue="1">
      <formula>ISBLANK(I5)</formula>
    </cfRule>
    <cfRule type="cellIs" dxfId="320" priority="170" stopIfTrue="1" operator="equal">
      <formula>"No grades yet"</formula>
    </cfRule>
    <cfRule type="cellIs" dxfId="319" priority="171" stopIfTrue="1" operator="greaterThanOrEqual">
      <formula>70</formula>
    </cfRule>
    <cfRule type="cellIs" dxfId="318" priority="172" stopIfTrue="1" operator="between">
      <formula>60</formula>
      <formula>69.999</formula>
    </cfRule>
    <cfRule type="cellIs" dxfId="317" priority="173" stopIfTrue="1" operator="between">
      <formula>50</formula>
      <formula>59.999</formula>
    </cfRule>
    <cfRule type="cellIs" dxfId="316" priority="174" stopIfTrue="1" operator="between">
      <formula>40</formula>
      <formula>49.999</formula>
    </cfRule>
    <cfRule type="cellIs" dxfId="315" priority="175" stopIfTrue="1" operator="lessThan">
      <formula>40</formula>
    </cfRule>
  </conditionalFormatting>
  <conditionalFormatting sqref="L5:L6">
    <cfRule type="expression" dxfId="314" priority="176" stopIfTrue="1">
      <formula>ISBLANK(L5)</formula>
    </cfRule>
    <cfRule type="cellIs" dxfId="313" priority="177" stopIfTrue="1" operator="equal">
      <formula>"No grades yet"</formula>
    </cfRule>
    <cfRule type="cellIs" dxfId="312" priority="178" stopIfTrue="1" operator="greaterThanOrEqual">
      <formula>70</formula>
    </cfRule>
    <cfRule type="cellIs" dxfId="311" priority="179" stopIfTrue="1" operator="between">
      <formula>60</formula>
      <formula>69.999</formula>
    </cfRule>
    <cfRule type="cellIs" dxfId="310" priority="180" stopIfTrue="1" operator="between">
      <formula>50</formula>
      <formula>59.999</formula>
    </cfRule>
    <cfRule type="cellIs" dxfId="309" priority="181" stopIfTrue="1" operator="between">
      <formula>40</formula>
      <formula>49.999</formula>
    </cfRule>
    <cfRule type="cellIs" dxfId="308" priority="182" stopIfTrue="1" operator="lessThan">
      <formula>40</formula>
    </cfRule>
  </conditionalFormatting>
  <conditionalFormatting sqref="I7:I8">
    <cfRule type="expression" dxfId="307" priority="183" stopIfTrue="1">
      <formula>ISBLANK(I7)</formula>
    </cfRule>
    <cfRule type="cellIs" dxfId="306" priority="184" stopIfTrue="1" operator="equal">
      <formula>"No grades yet"</formula>
    </cfRule>
    <cfRule type="cellIs" dxfId="305" priority="185" stopIfTrue="1" operator="greaterThanOrEqual">
      <formula>70</formula>
    </cfRule>
    <cfRule type="cellIs" dxfId="304" priority="186" stopIfTrue="1" operator="between">
      <formula>60</formula>
      <formula>69.999</formula>
    </cfRule>
    <cfRule type="cellIs" dxfId="303" priority="187" stopIfTrue="1" operator="between">
      <formula>50</formula>
      <formula>59.999</formula>
    </cfRule>
    <cfRule type="cellIs" dxfId="302" priority="188" stopIfTrue="1" operator="between">
      <formula>40</formula>
      <formula>49.999</formula>
    </cfRule>
    <cfRule type="cellIs" dxfId="301" priority="189" stopIfTrue="1" operator="lessThan">
      <formula>40</formula>
    </cfRule>
  </conditionalFormatting>
  <conditionalFormatting sqref="L7:L8">
    <cfRule type="expression" dxfId="300" priority="190" stopIfTrue="1">
      <formula>ISBLANK(L7)</formula>
    </cfRule>
    <cfRule type="cellIs" dxfId="299" priority="191" stopIfTrue="1" operator="equal">
      <formula>"No grades yet"</formula>
    </cfRule>
    <cfRule type="cellIs" dxfId="298" priority="192" stopIfTrue="1" operator="greaterThanOrEqual">
      <formula>70</formula>
    </cfRule>
    <cfRule type="cellIs" dxfId="297" priority="193" stopIfTrue="1" operator="between">
      <formula>60</formula>
      <formula>69.999</formula>
    </cfRule>
    <cfRule type="cellIs" dxfId="296" priority="194" stopIfTrue="1" operator="between">
      <formula>50</formula>
      <formula>59.999</formula>
    </cfRule>
    <cfRule type="cellIs" dxfId="295" priority="195" stopIfTrue="1" operator="between">
      <formula>40</formula>
      <formula>49.999</formula>
    </cfRule>
    <cfRule type="cellIs" dxfId="294" priority="196" stopIfTrue="1" operator="lessThan">
      <formula>40</formula>
    </cfRule>
  </conditionalFormatting>
  <conditionalFormatting sqref="I9:I13">
    <cfRule type="expression" dxfId="293" priority="197" stopIfTrue="1">
      <formula>ISBLANK(I9)</formula>
    </cfRule>
    <cfRule type="cellIs" dxfId="292" priority="198" stopIfTrue="1" operator="equal">
      <formula>"No grades yet"</formula>
    </cfRule>
    <cfRule type="cellIs" dxfId="291" priority="199" stopIfTrue="1" operator="greaterThanOrEqual">
      <formula>70</formula>
    </cfRule>
    <cfRule type="cellIs" dxfId="290" priority="200" stopIfTrue="1" operator="between">
      <formula>60</formula>
      <formula>69.999</formula>
    </cfRule>
    <cfRule type="cellIs" dxfId="289" priority="201" stopIfTrue="1" operator="between">
      <formula>50</formula>
      <formula>59.999</formula>
    </cfRule>
    <cfRule type="cellIs" dxfId="288" priority="202" stopIfTrue="1" operator="between">
      <formula>40</formula>
      <formula>49.999</formula>
    </cfRule>
    <cfRule type="cellIs" dxfId="287" priority="203" stopIfTrue="1" operator="lessThan">
      <formula>40</formula>
    </cfRule>
  </conditionalFormatting>
  <conditionalFormatting sqref="L9:L13">
    <cfRule type="expression" dxfId="286" priority="204" stopIfTrue="1">
      <formula>ISBLANK(L9)</formula>
    </cfRule>
    <cfRule type="cellIs" dxfId="285" priority="205" stopIfTrue="1" operator="equal">
      <formula>"No grades yet"</formula>
    </cfRule>
    <cfRule type="cellIs" dxfId="284" priority="206" stopIfTrue="1" operator="greaterThanOrEqual">
      <formula>70</formula>
    </cfRule>
    <cfRule type="cellIs" dxfId="283" priority="207" stopIfTrue="1" operator="between">
      <formula>60</formula>
      <formula>69.999</formula>
    </cfRule>
    <cfRule type="cellIs" dxfId="282" priority="208" stopIfTrue="1" operator="between">
      <formula>50</formula>
      <formula>59.999</formula>
    </cfRule>
    <cfRule type="cellIs" dxfId="281" priority="209" stopIfTrue="1" operator="between">
      <formula>40</formula>
      <formula>49.999</formula>
    </cfRule>
    <cfRule type="cellIs" dxfId="280" priority="210" stopIfTrue="1" operator="lessThan">
      <formula>40</formula>
    </cfRule>
  </conditionalFormatting>
  <conditionalFormatting sqref="I14">
    <cfRule type="expression" dxfId="279" priority="211" stopIfTrue="1">
      <formula>ISBLANK(I14)</formula>
    </cfRule>
    <cfRule type="cellIs" dxfId="278" priority="212" stopIfTrue="1" operator="equal">
      <formula>"No grades yet"</formula>
    </cfRule>
    <cfRule type="cellIs" dxfId="277" priority="213" stopIfTrue="1" operator="greaterThanOrEqual">
      <formula>70</formula>
    </cfRule>
    <cfRule type="cellIs" dxfId="276" priority="214" stopIfTrue="1" operator="between">
      <formula>60</formula>
      <formula>69.999</formula>
    </cfRule>
    <cfRule type="cellIs" dxfId="275" priority="215" stopIfTrue="1" operator="between">
      <formula>50</formula>
      <formula>59.999</formula>
    </cfRule>
    <cfRule type="cellIs" dxfId="274" priority="216" stopIfTrue="1" operator="between">
      <formula>40</formula>
      <formula>49.999</formula>
    </cfRule>
    <cfRule type="cellIs" dxfId="273" priority="217" stopIfTrue="1" operator="lessThan">
      <formula>40</formula>
    </cfRule>
  </conditionalFormatting>
  <conditionalFormatting sqref="L14">
    <cfRule type="expression" dxfId="272" priority="218" stopIfTrue="1">
      <formula>ISBLANK(L14)</formula>
    </cfRule>
    <cfRule type="cellIs" dxfId="271" priority="219" stopIfTrue="1" operator="equal">
      <formula>"No grades yet"</formula>
    </cfRule>
    <cfRule type="cellIs" dxfId="270" priority="220" stopIfTrue="1" operator="greaterThanOrEqual">
      <formula>70</formula>
    </cfRule>
    <cfRule type="cellIs" dxfId="269" priority="221" stopIfTrue="1" operator="between">
      <formula>60</formula>
      <formula>69.999</formula>
    </cfRule>
    <cfRule type="cellIs" dxfId="268" priority="222" stopIfTrue="1" operator="between">
      <formula>50</formula>
      <formula>59.999</formula>
    </cfRule>
    <cfRule type="cellIs" dxfId="267" priority="223" stopIfTrue="1" operator="between">
      <formula>40</formula>
      <formula>49.999</formula>
    </cfRule>
    <cfRule type="cellIs" dxfId="266" priority="224" stopIfTrue="1" operator="lessThan">
      <formula>40</formula>
    </cfRule>
  </conditionalFormatting>
  <conditionalFormatting sqref="I15">
    <cfRule type="expression" dxfId="265" priority="225" stopIfTrue="1">
      <formula>ISBLANK(I15)</formula>
    </cfRule>
    <cfRule type="cellIs" dxfId="264" priority="226" stopIfTrue="1" operator="equal">
      <formula>"No grades yet"</formula>
    </cfRule>
    <cfRule type="cellIs" dxfId="263" priority="227" stopIfTrue="1" operator="greaterThanOrEqual">
      <formula>70</formula>
    </cfRule>
    <cfRule type="cellIs" dxfId="262" priority="228" stopIfTrue="1" operator="between">
      <formula>60</formula>
      <formula>69.999</formula>
    </cfRule>
    <cfRule type="cellIs" dxfId="261" priority="229" stopIfTrue="1" operator="between">
      <formula>50</formula>
      <formula>59.999</formula>
    </cfRule>
    <cfRule type="cellIs" dxfId="260" priority="230" stopIfTrue="1" operator="between">
      <formula>40</formula>
      <formula>49.999</formula>
    </cfRule>
    <cfRule type="cellIs" dxfId="259" priority="231" stopIfTrue="1" operator="lessThan">
      <formula>40</formula>
    </cfRule>
  </conditionalFormatting>
  <conditionalFormatting sqref="L15">
    <cfRule type="expression" dxfId="258" priority="232" stopIfTrue="1">
      <formula>ISBLANK(L15)</formula>
    </cfRule>
    <cfRule type="cellIs" dxfId="257" priority="233" stopIfTrue="1" operator="equal">
      <formula>"No grades yet"</formula>
    </cfRule>
    <cfRule type="cellIs" dxfId="256" priority="234" stopIfTrue="1" operator="greaterThanOrEqual">
      <formula>70</formula>
    </cfRule>
    <cfRule type="cellIs" dxfId="255" priority="235" stopIfTrue="1" operator="between">
      <formula>60</formula>
      <formula>69.999</formula>
    </cfRule>
    <cfRule type="cellIs" dxfId="254" priority="236" stopIfTrue="1" operator="between">
      <formula>50</formula>
      <formula>59.999</formula>
    </cfRule>
    <cfRule type="cellIs" dxfId="253" priority="237" stopIfTrue="1" operator="between">
      <formula>40</formula>
      <formula>49.999</formula>
    </cfRule>
    <cfRule type="cellIs" dxfId="252" priority="238" stopIfTrue="1" operator="lessThan">
      <formula>40</formula>
    </cfRule>
  </conditionalFormatting>
  <conditionalFormatting sqref="I16:I17">
    <cfRule type="expression" dxfId="251" priority="239" stopIfTrue="1">
      <formula>ISBLANK(I16)</formula>
    </cfRule>
    <cfRule type="cellIs" dxfId="250" priority="240" stopIfTrue="1" operator="equal">
      <formula>"No grades yet"</formula>
    </cfRule>
    <cfRule type="cellIs" dxfId="249" priority="241" stopIfTrue="1" operator="greaterThanOrEqual">
      <formula>70</formula>
    </cfRule>
    <cfRule type="cellIs" dxfId="248" priority="242" stopIfTrue="1" operator="between">
      <formula>60</formula>
      <formula>69.999</formula>
    </cfRule>
    <cfRule type="cellIs" dxfId="247" priority="243" stopIfTrue="1" operator="between">
      <formula>50</formula>
      <formula>59.999</formula>
    </cfRule>
    <cfRule type="cellIs" dxfId="246" priority="244" stopIfTrue="1" operator="between">
      <formula>40</formula>
      <formula>49.999</formula>
    </cfRule>
    <cfRule type="cellIs" dxfId="245" priority="245" stopIfTrue="1" operator="lessThan">
      <formula>40</formula>
    </cfRule>
  </conditionalFormatting>
  <conditionalFormatting sqref="L16:L17">
    <cfRule type="expression" dxfId="244" priority="246" stopIfTrue="1">
      <formula>ISBLANK(L16)</formula>
    </cfRule>
    <cfRule type="cellIs" dxfId="243" priority="247" stopIfTrue="1" operator="equal">
      <formula>"No grades yet"</formula>
    </cfRule>
    <cfRule type="cellIs" dxfId="242" priority="248" stopIfTrue="1" operator="greaterThanOrEqual">
      <formula>70</formula>
    </cfRule>
    <cfRule type="cellIs" dxfId="241" priority="249" stopIfTrue="1" operator="between">
      <formula>60</formula>
      <formula>69.999</formula>
    </cfRule>
    <cfRule type="cellIs" dxfId="240" priority="250" stopIfTrue="1" operator="between">
      <formula>50</formula>
      <formula>59.999</formula>
    </cfRule>
    <cfRule type="cellIs" dxfId="239" priority="251" stopIfTrue="1" operator="between">
      <formula>40</formula>
      <formula>49.999</formula>
    </cfRule>
    <cfRule type="cellIs" dxfId="238" priority="252" stopIfTrue="1" operator="lessThan">
      <formula>40</formula>
    </cfRule>
  </conditionalFormatting>
  <conditionalFormatting sqref="I18:I19">
    <cfRule type="expression" dxfId="237" priority="253" stopIfTrue="1">
      <formula>ISBLANK(I18)</formula>
    </cfRule>
    <cfRule type="cellIs" dxfId="236" priority="254" stopIfTrue="1" operator="equal">
      <formula>"No grades yet"</formula>
    </cfRule>
    <cfRule type="cellIs" dxfId="235" priority="255" stopIfTrue="1" operator="greaterThanOrEqual">
      <formula>70</formula>
    </cfRule>
    <cfRule type="cellIs" dxfId="234" priority="256" stopIfTrue="1" operator="between">
      <formula>60</formula>
      <formula>69.999</formula>
    </cfRule>
    <cfRule type="cellIs" dxfId="233" priority="257" stopIfTrue="1" operator="between">
      <formula>50</formula>
      <formula>59.999</formula>
    </cfRule>
    <cfRule type="cellIs" dxfId="232" priority="258" stopIfTrue="1" operator="between">
      <formula>40</formula>
      <formula>49.999</formula>
    </cfRule>
    <cfRule type="cellIs" dxfId="231" priority="259" stopIfTrue="1" operator="lessThan">
      <formula>40</formula>
    </cfRule>
  </conditionalFormatting>
  <conditionalFormatting sqref="L18:L19">
    <cfRule type="expression" dxfId="230" priority="260" stopIfTrue="1">
      <formula>ISBLANK(L18)</formula>
    </cfRule>
    <cfRule type="cellIs" dxfId="229" priority="261" stopIfTrue="1" operator="equal">
      <formula>"No grades yet"</formula>
    </cfRule>
    <cfRule type="cellIs" dxfId="228" priority="262" stopIfTrue="1" operator="greaterThanOrEqual">
      <formula>70</formula>
    </cfRule>
    <cfRule type="cellIs" dxfId="227" priority="263" stopIfTrue="1" operator="between">
      <formula>60</formula>
      <formula>69.999</formula>
    </cfRule>
    <cfRule type="cellIs" dxfId="226" priority="264" stopIfTrue="1" operator="between">
      <formula>50</formula>
      <formula>59.999</formula>
    </cfRule>
    <cfRule type="cellIs" dxfId="225" priority="265" stopIfTrue="1" operator="between">
      <formula>40</formula>
      <formula>49.999</formula>
    </cfRule>
    <cfRule type="cellIs" dxfId="224" priority="266" stopIfTrue="1" operator="lessThan">
      <formula>40</formula>
    </cfRule>
  </conditionalFormatting>
  <conditionalFormatting sqref="I20">
    <cfRule type="expression" dxfId="223" priority="267" stopIfTrue="1">
      <formula>ISBLANK(I20)</formula>
    </cfRule>
    <cfRule type="cellIs" dxfId="222" priority="268" stopIfTrue="1" operator="equal">
      <formula>"No grades yet"</formula>
    </cfRule>
    <cfRule type="cellIs" dxfId="221" priority="269" stopIfTrue="1" operator="greaterThanOrEqual">
      <formula>70</formula>
    </cfRule>
    <cfRule type="cellIs" dxfId="220" priority="270" stopIfTrue="1" operator="between">
      <formula>60</formula>
      <formula>69.999</formula>
    </cfRule>
    <cfRule type="cellIs" dxfId="219" priority="271" stopIfTrue="1" operator="between">
      <formula>50</formula>
      <formula>59.999</formula>
    </cfRule>
    <cfRule type="cellIs" dxfId="218" priority="272" stopIfTrue="1" operator="between">
      <formula>40</formula>
      <formula>49.999</formula>
    </cfRule>
    <cfRule type="cellIs" dxfId="217" priority="273" stopIfTrue="1" operator="lessThan">
      <formula>40</formula>
    </cfRule>
  </conditionalFormatting>
  <conditionalFormatting sqref="L20">
    <cfRule type="expression" dxfId="216" priority="274" stopIfTrue="1">
      <formula>ISBLANK(L20)</formula>
    </cfRule>
    <cfRule type="cellIs" dxfId="215" priority="275" stopIfTrue="1" operator="equal">
      <formula>"No grades yet"</formula>
    </cfRule>
    <cfRule type="cellIs" dxfId="214" priority="276" stopIfTrue="1" operator="greaterThanOrEqual">
      <formula>70</formula>
    </cfRule>
    <cfRule type="cellIs" dxfId="213" priority="277" stopIfTrue="1" operator="between">
      <formula>60</formula>
      <formula>69.999</formula>
    </cfRule>
    <cfRule type="cellIs" dxfId="212" priority="278" stopIfTrue="1" operator="between">
      <formula>50</formula>
      <formula>59.999</formula>
    </cfRule>
    <cfRule type="cellIs" dxfId="211" priority="279" stopIfTrue="1" operator="between">
      <formula>40</formula>
      <formula>49.999</formula>
    </cfRule>
    <cfRule type="cellIs" dxfId="210" priority="280" stopIfTrue="1" operator="lessThan">
      <formula>40</formula>
    </cfRule>
  </conditionalFormatting>
  <conditionalFormatting sqref="I21">
    <cfRule type="expression" dxfId="209" priority="281" stopIfTrue="1">
      <formula>ISBLANK(I21)</formula>
    </cfRule>
    <cfRule type="cellIs" dxfId="208" priority="282" stopIfTrue="1" operator="equal">
      <formula>"No grades yet"</formula>
    </cfRule>
    <cfRule type="cellIs" dxfId="207" priority="283" stopIfTrue="1" operator="greaterThanOrEqual">
      <formula>70</formula>
    </cfRule>
    <cfRule type="cellIs" dxfId="206" priority="284" stopIfTrue="1" operator="between">
      <formula>60</formula>
      <formula>69.999</formula>
    </cfRule>
    <cfRule type="cellIs" dxfId="205" priority="285" stopIfTrue="1" operator="between">
      <formula>50</formula>
      <formula>59.999</formula>
    </cfRule>
    <cfRule type="cellIs" dxfId="204" priority="286" stopIfTrue="1" operator="between">
      <formula>40</formula>
      <formula>49.999</formula>
    </cfRule>
    <cfRule type="cellIs" dxfId="203" priority="287" stopIfTrue="1" operator="lessThan">
      <formula>40</formula>
    </cfRule>
  </conditionalFormatting>
  <conditionalFormatting sqref="L21">
    <cfRule type="expression" dxfId="202" priority="288" stopIfTrue="1">
      <formula>ISBLANK(L21)</formula>
    </cfRule>
    <cfRule type="cellIs" dxfId="201" priority="289" stopIfTrue="1" operator="equal">
      <formula>"No grades yet"</formula>
    </cfRule>
    <cfRule type="cellIs" dxfId="200" priority="290" stopIfTrue="1" operator="greaterThanOrEqual">
      <formula>70</formula>
    </cfRule>
    <cfRule type="cellIs" dxfId="199" priority="291" stopIfTrue="1" operator="between">
      <formula>60</formula>
      <formula>69.999</formula>
    </cfRule>
    <cfRule type="cellIs" dxfId="198" priority="292" stopIfTrue="1" operator="between">
      <formula>50</formula>
      <formula>59.999</formula>
    </cfRule>
    <cfRule type="cellIs" dxfId="197" priority="293" stopIfTrue="1" operator="between">
      <formula>40</formula>
      <formula>49.999</formula>
    </cfRule>
    <cfRule type="cellIs" dxfId="196" priority="294" stopIfTrue="1" operator="lessThan">
      <formula>40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51F51-1B5A-42AB-9488-ED21A6923579}">
  <sheetPr codeName="Sheet9"/>
  <dimension ref="A1"/>
  <sheetViews>
    <sheetView workbookViewId="0">
      <selection activeCell="B5" sqref="B5"/>
    </sheetView>
  </sheetViews>
  <sheetFormatPr defaultRowHeight="13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Y1 MBE</vt:lpstr>
      <vt:lpstr>Y2 MBE</vt:lpstr>
      <vt:lpstr>Y3 MBE</vt:lpstr>
      <vt:lpstr>Y4 MBE</vt:lpstr>
      <vt:lpstr>Y1 BME</vt:lpstr>
      <vt:lpstr>Y2 BME</vt:lpstr>
      <vt:lpstr>Y3 BME</vt:lpstr>
      <vt:lpstr>Y4 BME</vt:lpstr>
      <vt:lpstr>Y1 BTV</vt:lpstr>
      <vt:lpstr>Y2 BTV</vt:lpstr>
      <vt:lpstr>Totals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Natalie Chan</dc:creator>
  <cp:lastModifiedBy>Chan, Natalie</cp:lastModifiedBy>
  <dcterms:created xsi:type="dcterms:W3CDTF">2024-10-26T09:32:14Z</dcterms:created>
  <dcterms:modified xsi:type="dcterms:W3CDTF">2024-11-09T22:17:18Z</dcterms:modified>
</cp:coreProperties>
</file>