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C62FAAB6-DF30-48C3-BA95-58D3254804DA}" xr6:coauthVersionLast="47" xr6:coauthVersionMax="47" xr10:uidLastSave="{00000000-0000-0000-0000-000000000000}"/>
  <bookViews>
    <workbookView xWindow="-108" yWindow="-108" windowWidth="23256" windowHeight="13896" tabRatio="603" activeTab="2" xr2:uid="{00000000-000D-0000-FFFF-FFFF00000000}"/>
  </bookViews>
  <sheets>
    <sheet name="Y1 MBE" sheetId="6" r:id="rId1"/>
    <sheet name="Y2 MBE" sheetId="1" r:id="rId2"/>
    <sheet name="Y3 MBE" sheetId="3" r:id="rId3"/>
    <sheet name="Y4 MBE" sheetId="10" r:id="rId4"/>
    <sheet name="Y1 BME" sheetId="7" r:id="rId5"/>
    <sheet name="Y2 BME" sheetId="2" r:id="rId6"/>
    <sheet name="Y3 BME" sheetId="4" r:id="rId7"/>
    <sheet name="Y4 BME" sheetId="9" r:id="rId8"/>
    <sheet name="Y1 BTV" sheetId="11" r:id="rId9"/>
    <sheet name="Y2 BTV" sheetId="12" r:id="rId10"/>
    <sheet name="Totals" sheetId="8" r:id="rId11"/>
  </sheets>
  <definedNames>
    <definedName name="_xlnm._FilterDatabase" localSheetId="2" hidden="1">'Y3 MBE'!$A$22:$N$48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8" i="3" l="1"/>
  <c r="O48" i="3"/>
  <c r="N48" i="3"/>
  <c r="M48" i="3"/>
  <c r="L48" i="3"/>
  <c r="K48" i="3"/>
  <c r="J48" i="3"/>
  <c r="P47" i="3"/>
  <c r="O47" i="3"/>
  <c r="N47" i="3"/>
  <c r="M47" i="3"/>
  <c r="L47" i="3"/>
  <c r="K47" i="3"/>
  <c r="J47" i="3"/>
  <c r="P46" i="3"/>
  <c r="O46" i="3"/>
  <c r="N46" i="3"/>
  <c r="M46" i="3"/>
  <c r="L46" i="3"/>
  <c r="K46" i="3"/>
  <c r="J46" i="3"/>
  <c r="P44" i="3"/>
  <c r="O44" i="3"/>
  <c r="N44" i="3"/>
  <c r="M44" i="3"/>
  <c r="L44" i="3"/>
  <c r="K44" i="3"/>
  <c r="J44" i="3"/>
  <c r="P43" i="3"/>
  <c r="O43" i="3"/>
  <c r="N43" i="3"/>
  <c r="M43" i="3"/>
  <c r="L43" i="3"/>
  <c r="K43" i="3"/>
  <c r="J43" i="3"/>
  <c r="P39" i="3"/>
  <c r="O39" i="3"/>
  <c r="N39" i="3"/>
  <c r="M39" i="3"/>
  <c r="L39" i="3"/>
  <c r="K39" i="3"/>
  <c r="J39" i="3"/>
  <c r="P37" i="3"/>
  <c r="O37" i="3"/>
  <c r="N37" i="3"/>
  <c r="M37" i="3"/>
  <c r="L37" i="3"/>
  <c r="K37" i="3"/>
  <c r="J37" i="3"/>
  <c r="P35" i="3"/>
  <c r="O35" i="3"/>
  <c r="N35" i="3"/>
  <c r="M35" i="3"/>
  <c r="L35" i="3"/>
  <c r="K35" i="3"/>
  <c r="J35" i="3"/>
  <c r="P34" i="3"/>
  <c r="O34" i="3"/>
  <c r="N34" i="3"/>
  <c r="M34" i="3"/>
  <c r="L34" i="3"/>
  <c r="K34" i="3"/>
  <c r="J34" i="3"/>
  <c r="P32" i="3"/>
  <c r="O32" i="3"/>
  <c r="N32" i="3"/>
  <c r="M32" i="3"/>
  <c r="L32" i="3"/>
  <c r="K32" i="3"/>
  <c r="J32" i="3"/>
  <c r="P29" i="3"/>
  <c r="O29" i="3"/>
  <c r="N29" i="3"/>
  <c r="M29" i="3"/>
  <c r="L29" i="3"/>
  <c r="K29" i="3"/>
  <c r="J29" i="3"/>
  <c r="P27" i="3"/>
  <c r="O27" i="3"/>
  <c r="N27" i="3"/>
  <c r="M27" i="3"/>
  <c r="L27" i="3"/>
  <c r="K27" i="3"/>
  <c r="J27" i="3"/>
  <c r="P23" i="3"/>
  <c r="O23" i="3"/>
  <c r="N23" i="3"/>
  <c r="M23" i="3"/>
  <c r="L23" i="3"/>
  <c r="K23" i="3"/>
  <c r="J23" i="3"/>
  <c r="P18" i="3"/>
  <c r="O18" i="3"/>
  <c r="N18" i="3"/>
  <c r="M18" i="3"/>
  <c r="L18" i="3"/>
  <c r="K18" i="3"/>
  <c r="J18" i="3"/>
  <c r="P16" i="3"/>
  <c r="O16" i="3"/>
  <c r="N16" i="3"/>
  <c r="M16" i="3"/>
  <c r="L16" i="3"/>
  <c r="K16" i="3"/>
  <c r="J16" i="3"/>
  <c r="P13" i="3"/>
  <c r="O13" i="3"/>
  <c r="N13" i="3"/>
  <c r="M13" i="3"/>
  <c r="L13" i="3"/>
  <c r="K13" i="3"/>
  <c r="J13" i="3"/>
  <c r="P11" i="3"/>
  <c r="O11" i="3"/>
  <c r="N11" i="3"/>
  <c r="M11" i="3"/>
  <c r="L11" i="3"/>
  <c r="K11" i="3"/>
  <c r="J11" i="3"/>
  <c r="P9" i="3"/>
  <c r="O9" i="3"/>
  <c r="N9" i="3"/>
  <c r="M9" i="3"/>
  <c r="L9" i="3"/>
  <c r="K9" i="3"/>
  <c r="J9" i="3"/>
  <c r="P4" i="3"/>
  <c r="O4" i="3"/>
  <c r="N4" i="3"/>
  <c r="M4" i="3"/>
  <c r="L4" i="3"/>
  <c r="K4" i="3"/>
  <c r="J4" i="3"/>
  <c r="P105" i="4"/>
  <c r="O105" i="4"/>
  <c r="N105" i="4"/>
  <c r="M105" i="4"/>
  <c r="L105" i="4"/>
  <c r="K105" i="4"/>
  <c r="J105" i="4"/>
  <c r="P104" i="4"/>
  <c r="O104" i="4"/>
  <c r="N104" i="4"/>
  <c r="M104" i="4"/>
  <c r="L104" i="4"/>
  <c r="K104" i="4"/>
  <c r="J104" i="4"/>
  <c r="P103" i="4"/>
  <c r="O103" i="4"/>
  <c r="N103" i="4"/>
  <c r="M103" i="4"/>
  <c r="L103" i="4"/>
  <c r="K103" i="4"/>
  <c r="J103" i="4"/>
  <c r="P102" i="4"/>
  <c r="O102" i="4"/>
  <c r="N102" i="4"/>
  <c r="M102" i="4"/>
  <c r="L102" i="4"/>
  <c r="K102" i="4"/>
  <c r="J102" i="4"/>
  <c r="P101" i="4"/>
  <c r="O101" i="4"/>
  <c r="N101" i="4"/>
  <c r="M101" i="4"/>
  <c r="L101" i="4"/>
  <c r="K101" i="4"/>
  <c r="J101" i="4"/>
  <c r="P100" i="4"/>
  <c r="O100" i="4"/>
  <c r="N100" i="4"/>
  <c r="M100" i="4"/>
  <c r="L100" i="4"/>
  <c r="K100" i="4"/>
  <c r="J100" i="4"/>
  <c r="P99" i="4"/>
  <c r="O99" i="4"/>
  <c r="N99" i="4"/>
  <c r="M99" i="4"/>
  <c r="L99" i="4"/>
  <c r="K99" i="4"/>
  <c r="J99" i="4"/>
  <c r="P98" i="4"/>
  <c r="O98" i="4"/>
  <c r="N98" i="4"/>
  <c r="M98" i="4"/>
  <c r="L98" i="4"/>
  <c r="K98" i="4"/>
  <c r="J98" i="4"/>
  <c r="P97" i="4"/>
  <c r="O97" i="4"/>
  <c r="N97" i="4"/>
  <c r="M97" i="4"/>
  <c r="L97" i="4"/>
  <c r="K97" i="4"/>
  <c r="J97" i="4"/>
  <c r="P86" i="4"/>
  <c r="O86" i="4"/>
  <c r="N86" i="4"/>
  <c r="M86" i="4"/>
  <c r="L86" i="4"/>
  <c r="K86" i="4"/>
  <c r="J86" i="4"/>
  <c r="P84" i="4"/>
  <c r="O84" i="4"/>
  <c r="N84" i="4"/>
  <c r="M84" i="4"/>
  <c r="L84" i="4"/>
  <c r="K84" i="4"/>
  <c r="J84" i="4"/>
  <c r="P82" i="4"/>
  <c r="O82" i="4"/>
  <c r="N82" i="4"/>
  <c r="M82" i="4"/>
  <c r="L82" i="4"/>
  <c r="K82" i="4"/>
  <c r="J82" i="4"/>
  <c r="P80" i="4"/>
  <c r="O80" i="4"/>
  <c r="N80" i="4"/>
  <c r="M80" i="4"/>
  <c r="L80" i="4"/>
  <c r="K80" i="4"/>
  <c r="J80" i="4"/>
  <c r="P89" i="4"/>
  <c r="O89" i="4"/>
  <c r="N89" i="4"/>
  <c r="M89" i="4"/>
  <c r="L89" i="4"/>
  <c r="K89" i="4"/>
  <c r="J89" i="4"/>
  <c r="P93" i="4"/>
  <c r="O93" i="4"/>
  <c r="N93" i="4"/>
  <c r="M93" i="4"/>
  <c r="L93" i="4"/>
  <c r="K93" i="4"/>
  <c r="J93" i="4"/>
  <c r="P95" i="4"/>
  <c r="O95" i="4"/>
  <c r="N95" i="4"/>
  <c r="M95" i="4"/>
  <c r="L95" i="4"/>
  <c r="K95" i="4"/>
  <c r="J95" i="4"/>
  <c r="P78" i="4"/>
  <c r="O78" i="4"/>
  <c r="N78" i="4"/>
  <c r="M78" i="4"/>
  <c r="L78" i="4"/>
  <c r="K78" i="4"/>
  <c r="J78" i="4"/>
  <c r="P74" i="4"/>
  <c r="O74" i="4"/>
  <c r="N74" i="4"/>
  <c r="M74" i="4"/>
  <c r="L74" i="4"/>
  <c r="K74" i="4"/>
  <c r="J74" i="4"/>
  <c r="P71" i="4"/>
  <c r="O71" i="4"/>
  <c r="N71" i="4"/>
  <c r="M71" i="4"/>
  <c r="L71" i="4"/>
  <c r="K71" i="4"/>
  <c r="J71" i="4"/>
  <c r="P69" i="4"/>
  <c r="O69" i="4"/>
  <c r="N69" i="4"/>
  <c r="M69" i="4"/>
  <c r="L69" i="4"/>
  <c r="K69" i="4"/>
  <c r="J69" i="4"/>
  <c r="P67" i="4"/>
  <c r="O67" i="4"/>
  <c r="N67" i="4"/>
  <c r="M67" i="4"/>
  <c r="L67" i="4"/>
  <c r="K67" i="4"/>
  <c r="J67" i="4"/>
  <c r="P64" i="4"/>
  <c r="O64" i="4"/>
  <c r="N64" i="4"/>
  <c r="M64" i="4"/>
  <c r="L64" i="4"/>
  <c r="K64" i="4"/>
  <c r="J64" i="4"/>
  <c r="P60" i="4"/>
  <c r="O60" i="4"/>
  <c r="N60" i="4"/>
  <c r="M60" i="4"/>
  <c r="L60" i="4"/>
  <c r="K60" i="4"/>
  <c r="J60" i="4"/>
  <c r="P58" i="4"/>
  <c r="O58" i="4"/>
  <c r="N58" i="4"/>
  <c r="M58" i="4"/>
  <c r="L58" i="4"/>
  <c r="K58" i="4"/>
  <c r="J58" i="4"/>
  <c r="P53" i="4"/>
  <c r="O53" i="4"/>
  <c r="N53" i="4"/>
  <c r="M53" i="4"/>
  <c r="L53" i="4"/>
  <c r="K53" i="4"/>
  <c r="J53" i="4"/>
  <c r="P49" i="4"/>
  <c r="O49" i="4"/>
  <c r="N49" i="4"/>
  <c r="M49" i="4"/>
  <c r="L49" i="4"/>
  <c r="K49" i="4"/>
  <c r="J49" i="4"/>
  <c r="P47" i="4"/>
  <c r="O47" i="4"/>
  <c r="N47" i="4"/>
  <c r="M47" i="4"/>
  <c r="L47" i="4"/>
  <c r="K47" i="4"/>
  <c r="J47" i="4"/>
  <c r="P43" i="4"/>
  <c r="O43" i="4"/>
  <c r="N43" i="4"/>
  <c r="M43" i="4"/>
  <c r="L43" i="4"/>
  <c r="K43" i="4"/>
  <c r="J43" i="4"/>
  <c r="P36" i="4"/>
  <c r="O36" i="4"/>
  <c r="N36" i="4"/>
  <c r="M36" i="4"/>
  <c r="L36" i="4"/>
  <c r="K36" i="4"/>
  <c r="J36" i="4"/>
  <c r="P33" i="4"/>
  <c r="O33" i="4"/>
  <c r="N33" i="4"/>
  <c r="M33" i="4"/>
  <c r="L33" i="4"/>
  <c r="K33" i="4"/>
  <c r="J33" i="4"/>
  <c r="P30" i="4"/>
  <c r="O30" i="4"/>
  <c r="N30" i="4"/>
  <c r="M30" i="4"/>
  <c r="L30" i="4"/>
  <c r="K30" i="4"/>
  <c r="J30" i="4"/>
  <c r="P26" i="4"/>
  <c r="O26" i="4"/>
  <c r="N26" i="4"/>
  <c r="M26" i="4"/>
  <c r="L26" i="4"/>
  <c r="K26" i="4"/>
  <c r="J26" i="4"/>
  <c r="P24" i="4"/>
  <c r="O24" i="4"/>
  <c r="N24" i="4"/>
  <c r="M24" i="4"/>
  <c r="L24" i="4"/>
  <c r="K24" i="4"/>
  <c r="J24" i="4"/>
  <c r="P20" i="4"/>
  <c r="O20" i="4"/>
  <c r="N20" i="4"/>
  <c r="M20" i="4"/>
  <c r="L20" i="4"/>
  <c r="K20" i="4"/>
  <c r="J20" i="4"/>
  <c r="P18" i="4"/>
  <c r="O18" i="4"/>
  <c r="N18" i="4"/>
  <c r="M18" i="4"/>
  <c r="L18" i="4"/>
  <c r="K18" i="4"/>
  <c r="J18" i="4"/>
  <c r="P14" i="4"/>
  <c r="O14" i="4"/>
  <c r="N14" i="4"/>
  <c r="M14" i="4"/>
  <c r="L14" i="4"/>
  <c r="K14" i="4"/>
  <c r="J14" i="4"/>
  <c r="K38" i="4"/>
  <c r="P38" i="4" s="1"/>
  <c r="J38" i="4"/>
  <c r="K11" i="4"/>
  <c r="J11" i="4"/>
  <c r="L11" i="4" s="1"/>
  <c r="K9" i="4"/>
  <c r="J9" i="4"/>
  <c r="K4" i="4"/>
  <c r="J4" i="4"/>
  <c r="J16" i="12"/>
  <c r="O16" i="12" s="1"/>
  <c r="I16" i="12"/>
  <c r="K16" i="12" s="1"/>
  <c r="J15" i="12"/>
  <c r="L15" i="12" s="1"/>
  <c r="I15" i="12"/>
  <c r="K15" i="12" s="1"/>
  <c r="J14" i="12"/>
  <c r="N14" i="12" s="1"/>
  <c r="I14" i="12"/>
  <c r="J9" i="12"/>
  <c r="M9" i="12" s="1"/>
  <c r="I9" i="12"/>
  <c r="K9" i="12" s="1"/>
  <c r="J7" i="12"/>
  <c r="O7" i="12" s="1"/>
  <c r="I7" i="12"/>
  <c r="K7" i="12" s="1"/>
  <c r="O21" i="12"/>
  <c r="N21" i="12"/>
  <c r="M21" i="12"/>
  <c r="L21" i="12"/>
  <c r="K21" i="12"/>
  <c r="J21" i="12"/>
  <c r="I21" i="12"/>
  <c r="J20" i="12"/>
  <c r="O20" i="12" s="1"/>
  <c r="I20" i="12"/>
  <c r="K20" i="12" s="1"/>
  <c r="J18" i="12"/>
  <c r="O18" i="12" s="1"/>
  <c r="I18" i="12"/>
  <c r="K18" i="12" s="1"/>
  <c r="O5" i="12"/>
  <c r="N5" i="12"/>
  <c r="M5" i="12"/>
  <c r="L5" i="12"/>
  <c r="J5" i="12"/>
  <c r="I5" i="12"/>
  <c r="K5" i="12" s="1"/>
  <c r="J2" i="12"/>
  <c r="O2" i="12" s="1"/>
  <c r="I2" i="12"/>
  <c r="K2" i="12" s="1"/>
  <c r="J22" i="11"/>
  <c r="O22" i="11" s="1"/>
  <c r="I22" i="11"/>
  <c r="K22" i="11" s="1"/>
  <c r="K21" i="11"/>
  <c r="J21" i="11"/>
  <c r="M21" i="11" s="1"/>
  <c r="I21" i="11"/>
  <c r="J18" i="11"/>
  <c r="O18" i="11" s="1"/>
  <c r="I18" i="11"/>
  <c r="J15" i="11"/>
  <c r="O15" i="11" s="1"/>
  <c r="I15" i="11"/>
  <c r="K15" i="11" s="1"/>
  <c r="J13" i="11"/>
  <c r="M13" i="11" s="1"/>
  <c r="I13" i="11"/>
  <c r="K13" i="11" s="1"/>
  <c r="O10" i="11"/>
  <c r="N10" i="11"/>
  <c r="M10" i="11"/>
  <c r="L10" i="11"/>
  <c r="K10" i="11"/>
  <c r="J10" i="11"/>
  <c r="I10" i="11"/>
  <c r="J6" i="11"/>
  <c r="I6" i="11"/>
  <c r="J2" i="11"/>
  <c r="I2" i="11"/>
  <c r="K2" i="11" s="1"/>
  <c r="O24" i="1"/>
  <c r="N24" i="1"/>
  <c r="M24" i="1"/>
  <c r="L24" i="1"/>
  <c r="K24" i="1"/>
  <c r="J24" i="1"/>
  <c r="I24" i="1"/>
  <c r="O17" i="1"/>
  <c r="N17" i="1"/>
  <c r="M17" i="1"/>
  <c r="L17" i="1"/>
  <c r="K17" i="1"/>
  <c r="J17" i="1"/>
  <c r="I17" i="1"/>
  <c r="O12" i="1"/>
  <c r="N12" i="1"/>
  <c r="M12" i="1"/>
  <c r="L12" i="1"/>
  <c r="K12" i="1"/>
  <c r="J12" i="1"/>
  <c r="I12" i="1"/>
  <c r="O6" i="1"/>
  <c r="N6" i="1"/>
  <c r="M6" i="1"/>
  <c r="L6" i="1"/>
  <c r="K6" i="1"/>
  <c r="J6" i="1"/>
  <c r="I6" i="1"/>
  <c r="O2" i="1"/>
  <c r="N2" i="1"/>
  <c r="M2" i="1"/>
  <c r="L2" i="1"/>
  <c r="K2" i="1"/>
  <c r="J2" i="1"/>
  <c r="I2" i="1"/>
  <c r="O24" i="2"/>
  <c r="N24" i="2"/>
  <c r="M24" i="2"/>
  <c r="L24" i="2"/>
  <c r="K24" i="2"/>
  <c r="J24" i="2"/>
  <c r="I24" i="2"/>
  <c r="O22" i="2"/>
  <c r="N22" i="2"/>
  <c r="M22" i="2"/>
  <c r="L22" i="2"/>
  <c r="K22" i="2"/>
  <c r="J22" i="2"/>
  <c r="I22" i="2"/>
  <c r="O20" i="2"/>
  <c r="N20" i="2"/>
  <c r="M20" i="2"/>
  <c r="L20" i="2"/>
  <c r="K20" i="2"/>
  <c r="J20" i="2"/>
  <c r="I20" i="2"/>
  <c r="O17" i="2"/>
  <c r="N17" i="2"/>
  <c r="M17" i="2"/>
  <c r="L17" i="2"/>
  <c r="K17" i="2"/>
  <c r="J17" i="2"/>
  <c r="I17" i="2"/>
  <c r="O12" i="2"/>
  <c r="N12" i="2"/>
  <c r="M12" i="2"/>
  <c r="L12" i="2"/>
  <c r="K12" i="2"/>
  <c r="J12" i="2"/>
  <c r="I12" i="2"/>
  <c r="O9" i="2"/>
  <c r="N9" i="2"/>
  <c r="M9" i="2"/>
  <c r="L9" i="2"/>
  <c r="K9" i="2"/>
  <c r="J9" i="2"/>
  <c r="I9" i="2"/>
  <c r="O5" i="2"/>
  <c r="N5" i="2"/>
  <c r="M5" i="2"/>
  <c r="L5" i="2"/>
  <c r="K5" i="2"/>
  <c r="J5" i="2"/>
  <c r="I5" i="2"/>
  <c r="O2" i="2"/>
  <c r="N2" i="2"/>
  <c r="M2" i="2"/>
  <c r="L2" i="2"/>
  <c r="K2" i="2"/>
  <c r="J2" i="2"/>
  <c r="I2" i="2"/>
  <c r="O22" i="7"/>
  <c r="N22" i="7"/>
  <c r="M22" i="7"/>
  <c r="L22" i="7"/>
  <c r="K22" i="7"/>
  <c r="J22" i="7"/>
  <c r="I22" i="7"/>
  <c r="O16" i="7"/>
  <c r="N16" i="7"/>
  <c r="M16" i="7"/>
  <c r="L16" i="7"/>
  <c r="K16" i="7"/>
  <c r="J16" i="7"/>
  <c r="I16" i="7"/>
  <c r="O13" i="7"/>
  <c r="N13" i="7"/>
  <c r="M13" i="7"/>
  <c r="L13" i="7"/>
  <c r="K13" i="7"/>
  <c r="J13" i="7"/>
  <c r="I13" i="7"/>
  <c r="O9" i="7"/>
  <c r="N9" i="7"/>
  <c r="M9" i="7"/>
  <c r="L9" i="7"/>
  <c r="K9" i="7"/>
  <c r="J9" i="7"/>
  <c r="I9" i="7"/>
  <c r="O5" i="7"/>
  <c r="N5" i="7"/>
  <c r="M5" i="7"/>
  <c r="L5" i="7"/>
  <c r="K5" i="7"/>
  <c r="J5" i="7"/>
  <c r="I5" i="7"/>
  <c r="O2" i="7"/>
  <c r="N2" i="7"/>
  <c r="M2" i="7"/>
  <c r="L2" i="7"/>
  <c r="K2" i="7"/>
  <c r="J2" i="7"/>
  <c r="I2" i="7"/>
  <c r="L4" i="4" l="1"/>
  <c r="P4" i="4"/>
  <c r="P9" i="4"/>
  <c r="P11" i="4"/>
  <c r="L38" i="4"/>
  <c r="L9" i="4"/>
  <c r="M9" i="4"/>
  <c r="N9" i="4"/>
  <c r="O9" i="4"/>
  <c r="M11" i="4"/>
  <c r="N11" i="4"/>
  <c r="O11" i="4"/>
  <c r="M4" i="4"/>
  <c r="N4" i="4"/>
  <c r="M38" i="4"/>
  <c r="O4" i="4"/>
  <c r="N38" i="4"/>
  <c r="O38" i="4"/>
  <c r="K14" i="12"/>
  <c r="L18" i="12"/>
  <c r="M18" i="12"/>
  <c r="L7" i="12"/>
  <c r="L14" i="12"/>
  <c r="O14" i="12"/>
  <c r="N18" i="12"/>
  <c r="N7" i="12"/>
  <c r="M15" i="12"/>
  <c r="N15" i="12"/>
  <c r="O15" i="12"/>
  <c r="L2" i="12"/>
  <c r="N9" i="12"/>
  <c r="O9" i="12"/>
  <c r="N16" i="12"/>
  <c r="M14" i="12"/>
  <c r="M7" i="12"/>
  <c r="M2" i="12"/>
  <c r="L20" i="12"/>
  <c r="N2" i="12"/>
  <c r="M20" i="12"/>
  <c r="L9" i="12"/>
  <c r="N20" i="12"/>
  <c r="L16" i="12"/>
  <c r="M16" i="12"/>
  <c r="L13" i="11"/>
  <c r="L22" i="11"/>
  <c r="K18" i="11"/>
  <c r="L18" i="11"/>
  <c r="M18" i="11"/>
  <c r="L21" i="11"/>
  <c r="O6" i="11"/>
  <c r="N15" i="11"/>
  <c r="M22" i="11"/>
  <c r="N18" i="11"/>
  <c r="N13" i="11"/>
  <c r="O13" i="11"/>
  <c r="N21" i="11"/>
  <c r="O21" i="11"/>
  <c r="N22" i="11"/>
  <c r="L15" i="11"/>
  <c r="M15" i="11"/>
  <c r="K6" i="11"/>
  <c r="L6" i="11"/>
  <c r="M6" i="11"/>
  <c r="N6" i="11"/>
  <c r="O2" i="11"/>
  <c r="L2" i="11"/>
  <c r="M2" i="11"/>
  <c r="N2" i="11"/>
  <c r="O16" i="6"/>
  <c r="N16" i="6"/>
  <c r="M16" i="6"/>
  <c r="L16" i="6"/>
  <c r="K16" i="6"/>
  <c r="J16" i="6"/>
  <c r="I16" i="6"/>
  <c r="O14" i="6"/>
  <c r="N14" i="6"/>
  <c r="M14" i="6"/>
  <c r="L14" i="6"/>
  <c r="K14" i="6"/>
  <c r="J14" i="6"/>
  <c r="I14" i="6"/>
  <c r="O10" i="6"/>
  <c r="N10" i="6"/>
  <c r="M10" i="6"/>
  <c r="L10" i="6"/>
  <c r="K10" i="6"/>
  <c r="J10" i="6"/>
  <c r="I10" i="6"/>
  <c r="J6" i="6"/>
  <c r="N6" i="6" s="1"/>
  <c r="I6" i="6"/>
  <c r="K6" i="6" s="1"/>
  <c r="J2" i="6"/>
  <c r="O2" i="6" s="1"/>
  <c r="I2" i="6"/>
  <c r="K2" i="6" s="1"/>
  <c r="L2" i="6" l="1"/>
  <c r="M2" i="6"/>
  <c r="N2" i="6"/>
  <c r="L6" i="6"/>
  <c r="M6" i="6"/>
  <c r="O6" i="6"/>
</calcChain>
</file>

<file path=xl/sharedStrings.xml><?xml version="1.0" encoding="utf-8"?>
<sst xmlns="http://schemas.openxmlformats.org/spreadsheetml/2006/main" count="982" uniqueCount="392">
  <si>
    <t>ECTS</t>
  </si>
  <si>
    <t>Format</t>
  </si>
  <si>
    <t>Weighting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</si>
  <si>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</si>
  <si>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</si>
  <si>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</si>
  <si>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</si>
  <si>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</si>
  <si>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</si>
  <si>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</si>
  <si>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</si>
  <si>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</si>
  <si>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</si>
  <si>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</si>
  <si>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</si>
  <si>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</si>
  <si>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</si>
  <si>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</si>
  <si>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</si>
  <si>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</si>
  <si>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</si>
  <si>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</si>
  <si>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</si>
  <si>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</si>
  <si>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</si>
  <si>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</si>
  <si>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</si>
  <si>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</si>
  <si>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</si>
  <si>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</si>
  <si>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</si>
  <si>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</si>
  <si>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</si>
  <si>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</si>
  <si>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</si>
  <si>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</si>
  <si>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</si>
  <si>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</si>
  <si>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</si>
  <si>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</si>
  <si>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</si>
  <si>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</si>
  <si>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</si>
  <si>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</si>
  <si>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</si>
  <si>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</si>
  <si>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</si>
  <si>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</si>
  <si>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</si>
  <si>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</si>
  <si>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</si>
  <si>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</si>
  <si>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</si>
  <si>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</si>
  <si>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</si>
  <si>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</si>
  <si>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</si>
  <si>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</si>
  <si>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</si>
  <si>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</si>
  <si>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</si>
  <si>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</si>
  <si>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</si>
  <si>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</si>
  <si>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</si>
  <si>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</si>
  <si>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</si>
  <si>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</si>
  <si>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</si>
  <si>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</si>
  <si>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</si>
  <si>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</si>
  <si>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</si>
  <si>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</si>
  <si>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</si>
  <si>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</si>
  <si>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</si>
  <si>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</si>
  <si>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</si>
  <si>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</si>
  <si>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</si>
  <si>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</si>
  <si>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</si>
  <si>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</si>
  <si>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</si>
  <si>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</si>
  <si>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</si>
  <si>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</si>
  <si>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</si>
  <si>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</si>
  <si>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</si>
  <si>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</si>
  <si>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</si>
  <si>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</si>
  <si>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</si>
  <si>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</si>
  <si>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</si>
  <si>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</si>
  <si>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</si>
  <si>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</si>
  <si>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</si>
  <si>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</si>
  <si>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</si>
  <si>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</si>
  <si>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</si>
  <si>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</si>
  <si>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</si>
  <si>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</si>
  <si>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</si>
  <si>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</si>
  <si>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</si>
  <si>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</si>
  <si>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</si>
  <si>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</si>
  <si>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</si>
  <si>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</si>
  <si>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</si>
  <si>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</si>
  <si>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</si>
  <si>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</si>
  <si>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</si>
  <si>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</si>
  <si>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</si>
  <si>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</si>
  <si>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</si>
  <si>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</si>
  <si>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</si>
  <si>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</si>
  <si>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</si>
  <si>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</si>
  <si>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</si>
  <si>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</si>
  <si>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</si>
  <si>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</si>
  <si>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</si>
  <si>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</si>
  <si>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</si>
  <si>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</si>
  <si>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</si>
  <si>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</si>
  <si>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</si>
  <si>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</si>
  <si>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</si>
  <si>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</si>
  <si>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</si>
  <si>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</si>
  <si>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</si>
  <si>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</si>
  <si>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</si>
  <si>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</si>
  <si>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r>
      <rPr>
        <b/>
        <sz val="8"/>
        <rFont val="Arial"/>
        <family val="2"/>
      </rPr>
      <t>Code</t>
    </r>
  </si>
  <si>
    <r>
      <rPr>
        <b/>
        <sz val="8"/>
        <rFont val="Arial"/>
        <family val="2"/>
      </rPr>
      <t>Title</t>
    </r>
  </si>
  <si>
    <r>
      <rPr>
        <b/>
        <sz val="8"/>
        <rFont val="Arial"/>
        <family val="2"/>
      </rPr>
      <t>ECTS</t>
    </r>
  </si>
  <si>
    <r>
      <rPr>
        <b/>
        <sz val="8"/>
        <rFont val="Arial"/>
        <family val="2"/>
      </rPr>
      <t>Pass-mark</t>
    </r>
  </si>
  <si>
    <r>
      <rPr>
        <b/>
        <sz val="8"/>
        <rFont val="Arial"/>
        <family val="2"/>
      </rPr>
      <t>Assessments</t>
    </r>
  </si>
  <si>
    <t>Grades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</si>
  <si>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</si>
  <si>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</si>
  <si>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</si>
  <si>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</si>
  <si>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</si>
  <si>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</si>
  <si>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</si>
  <si>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</si>
  <si>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</si>
  <si>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</si>
  <si>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</si>
  <si>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</si>
  <si>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</si>
  <si>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</si>
  <si>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</si>
  <si>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</si>
  <si>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</si>
  <si>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</si>
  <si>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</si>
  <si>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</si>
  <si>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</si>
  <si>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</si>
  <si>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</si>
  <si>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</si>
  <si>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</si>
  <si>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</si>
  <si>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</si>
  <si>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</si>
  <si>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</si>
  <si>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</si>
  <si>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</si>
  <si>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</si>
  <si>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</si>
  <si>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</si>
  <si>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</si>
  <si>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</si>
  <si>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</si>
  <si>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</si>
  <si>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</si>
  <si>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</si>
  <si>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</si>
  <si>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</si>
  <si>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</si>
  <si>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</si>
  <si>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</si>
  <si>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t>Average Needed for 1st</t>
  </si>
  <si>
    <t>Average Needed for 2:2</t>
  </si>
  <si>
    <t>Average Needed for 3rd</t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</si>
  <si>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</si>
  <si>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</si>
  <si>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</si>
  <si>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</si>
  <si>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</si>
  <si>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</si>
  <si>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</si>
  <si>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</si>
  <si>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</si>
  <si>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</si>
  <si>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</si>
  <si>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</si>
  <si>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</si>
  <si>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</si>
  <si>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</si>
  <si>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</si>
  <si>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</si>
  <si>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</si>
  <si>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</si>
  <si>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</si>
  <si>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</si>
  <si>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</si>
  <si>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</si>
  <si>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</si>
  <si>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</si>
  <si>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</si>
  <si>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</si>
  <si>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</si>
  <si>
    <t>Assesments</t>
  </si>
  <si>
    <r>
      <rPr>
        <sz val="10"/>
        <rFont val="Arial MT"/>
        <family val="2"/>
      </rPr>
      <t>Live programming test</t>
    </r>
  </si>
  <si>
    <r>
      <rPr>
        <sz val="10"/>
        <rFont val="Arial MT"/>
        <family val="2"/>
      </rPr>
      <t>BIOE40011</t>
    </r>
  </si>
  <si>
    <r>
      <rPr>
        <sz val="10"/>
        <rFont val="Arial MT"/>
        <family val="2"/>
      </rPr>
      <t>Foundations of Biomedical Engineering</t>
    </r>
  </si>
  <si>
    <r>
      <rPr>
        <sz val="10"/>
        <rFont val="Arial MT"/>
        <family val="2"/>
      </rPr>
      <t>Final exam</t>
    </r>
  </si>
  <si>
    <r>
      <rPr>
        <sz val="10"/>
        <rFont val="Arial MT"/>
        <family val="2"/>
      </rPr>
      <t>BIOE40014</t>
    </r>
  </si>
  <si>
    <r>
      <rPr>
        <sz val="10"/>
        <rFont val="Arial MT"/>
        <family val="2"/>
      </rPr>
      <t>Sensors and Actuation</t>
    </r>
  </si>
  <si>
    <r>
      <rPr>
        <sz val="10"/>
        <rFont val="Arial MT"/>
        <family val="2"/>
      </rPr>
      <t>Video</t>
    </r>
  </si>
  <si>
    <r>
      <rPr>
        <sz val="10"/>
        <rFont val="Arial MT"/>
        <family val="2"/>
      </rPr>
      <t>Instructional video</t>
    </r>
  </si>
  <si>
    <r>
      <rPr>
        <sz val="10"/>
        <rFont val="Arial MT"/>
        <family val="2"/>
      </rPr>
      <t>Quiz</t>
    </r>
  </si>
  <si>
    <r>
      <rPr>
        <sz val="10"/>
        <rFont val="Arial MT"/>
        <family val="2"/>
      </rPr>
      <t>MCQ quiz 1</t>
    </r>
  </si>
  <si>
    <r>
      <rPr>
        <sz val="10"/>
        <rFont val="Arial MT"/>
        <family val="2"/>
      </rPr>
      <t>MCQ quiz 2</t>
    </r>
  </si>
  <si>
    <r>
      <rPr>
        <sz val="10"/>
        <rFont val="Arial MT"/>
        <family val="2"/>
      </rPr>
      <t>BUSI40010</t>
    </r>
  </si>
  <si>
    <r>
      <rPr>
        <sz val="10"/>
        <rFont val="Arial MT"/>
        <family val="2"/>
      </rPr>
      <t>Business Economics</t>
    </r>
  </si>
  <si>
    <t>Set by business school</t>
  </si>
  <si>
    <r>
      <rPr>
        <sz val="10"/>
        <rFont val="Arial MT"/>
        <family val="2"/>
      </rPr>
      <t>BUSI40011</t>
    </r>
  </si>
  <si>
    <r>
      <rPr>
        <sz val="10"/>
        <rFont val="Arial MT"/>
        <family val="2"/>
      </rPr>
      <t>Entrepreneurship online</t>
    </r>
  </si>
  <si>
    <r>
      <rPr>
        <sz val="10"/>
        <rFont val="Arial MT"/>
        <family val="2"/>
      </rPr>
      <t>BIOE50006</t>
    </r>
  </si>
  <si>
    <r>
      <rPr>
        <sz val="10"/>
        <rFont val="Arial MT"/>
        <family val="2"/>
      </rPr>
      <t>Mathematics 2</t>
    </r>
  </si>
  <si>
    <r>
      <rPr>
        <sz val="10"/>
        <rFont val="Arial MT"/>
        <family val="2"/>
      </rPr>
      <t>Alpha/Beta progress test</t>
    </r>
  </si>
  <si>
    <r>
      <rPr>
        <sz val="10"/>
        <rFont val="Arial MT"/>
        <family val="2"/>
      </rPr>
      <t>Gamma progress test</t>
    </r>
  </si>
  <si>
    <r>
      <rPr>
        <sz val="10"/>
        <rFont val="Arial MT"/>
        <family val="2"/>
      </rPr>
      <t>BIOE50008</t>
    </r>
  </si>
  <si>
    <r>
      <rPr>
        <sz val="10"/>
        <rFont val="Arial MT"/>
        <family val="2"/>
      </rPr>
      <t>Medical Science 2</t>
    </r>
  </si>
  <si>
    <r>
      <rPr>
        <sz val="10"/>
        <rFont val="Arial MT"/>
        <family val="2"/>
      </rPr>
      <t>Mastery exam</t>
    </r>
  </si>
  <si>
    <r>
      <rPr>
        <sz val="10"/>
        <rFont val="Arial MT"/>
        <family val="2"/>
      </rPr>
      <t>Mastery</t>
    </r>
  </si>
  <si>
    <r>
      <rPr>
        <sz val="10"/>
        <rFont val="Arial MT"/>
        <family val="2"/>
      </rPr>
      <t>BIOE60011</t>
    </r>
  </si>
  <si>
    <r>
      <rPr>
        <sz val="10"/>
        <rFont val="Arial MT"/>
        <family val="2"/>
      </rPr>
      <t>Probability, Statistics and Data Analysis - L6</t>
    </r>
  </si>
  <si>
    <r>
      <rPr>
        <sz val="10"/>
        <rFont val="Arial MT"/>
        <family val="2"/>
      </rPr>
      <t>Other</t>
    </r>
  </si>
  <si>
    <r>
      <rPr>
        <sz val="10"/>
        <rFont val="Arial MT"/>
        <family val="2"/>
      </rPr>
      <t>Matlab-based assignment</t>
    </r>
  </si>
  <si>
    <r>
      <rPr>
        <sz val="10"/>
        <rFont val="Arial MT"/>
        <family val="2"/>
      </rPr>
      <t>BUSI60043</t>
    </r>
  </si>
  <si>
    <r>
      <rPr>
        <sz val="10"/>
        <rFont val="Arial MT"/>
        <family val="2"/>
      </rPr>
      <t>Finance and Financial Management</t>
    </r>
  </si>
  <si>
    <t>Assessments set by the home department</t>
  </si>
  <si>
    <r>
      <rPr>
        <sz val="10"/>
        <rFont val="Arial MT"/>
        <family val="2"/>
      </rPr>
      <t>BUSI60045</t>
    </r>
  </si>
  <si>
    <r>
      <rPr>
        <sz val="10"/>
        <rFont val="Arial MT"/>
        <family val="2"/>
      </rPr>
      <t>Managing Innovation</t>
    </r>
  </si>
  <si>
    <r>
      <rPr>
        <sz val="10"/>
        <rFont val="Arial MT"/>
        <family val="2"/>
      </rPr>
      <t>BIOE50010</t>
    </r>
  </si>
  <si>
    <r>
      <rPr>
        <sz val="10"/>
        <rFont val="Arial MT"/>
        <family val="2"/>
      </rPr>
      <t>Programming 2</t>
    </r>
  </si>
  <si>
    <r>
      <rPr>
        <sz val="10"/>
        <rFont val="Arial MT"/>
        <family val="2"/>
      </rPr>
      <t>Assignment</t>
    </r>
  </si>
  <si>
    <r>
      <rPr>
        <sz val="10"/>
        <rFont val="Arial MT"/>
        <family val="2"/>
      </rPr>
      <t>BIOE50012</t>
    </r>
  </si>
  <si>
    <r>
      <rPr>
        <sz val="10"/>
        <rFont val="Arial MT"/>
        <family val="2"/>
      </rPr>
      <t>An Introduction to Biomaterials</t>
    </r>
  </si>
  <si>
    <r>
      <rPr>
        <sz val="10"/>
        <rFont val="Arial MT"/>
        <family val="2"/>
      </rPr>
      <t>Multiple choice quiz 1</t>
    </r>
  </si>
  <si>
    <r>
      <rPr>
        <sz val="10"/>
        <rFont val="Arial MT"/>
        <family val="2"/>
      </rPr>
      <t>Multiple choice quiz 2</t>
    </r>
  </si>
  <si>
    <r>
      <rPr>
        <sz val="10"/>
        <rFont val="Arial MT"/>
        <family val="2"/>
      </rPr>
      <t>Practical</t>
    </r>
  </si>
  <si>
    <r>
      <rPr>
        <sz val="10"/>
        <rFont val="Arial MT"/>
        <family val="2"/>
      </rPr>
      <t>Video protocol journal</t>
    </r>
  </si>
  <si>
    <r>
      <rPr>
        <sz val="10"/>
        <rFont val="Arial MT"/>
        <family val="2"/>
      </rPr>
      <t>Research manuscript and standard protocol document</t>
    </r>
  </si>
  <si>
    <r>
      <rPr>
        <sz val="10"/>
        <rFont val="Arial MT"/>
        <family val="2"/>
      </rPr>
      <t>BIOE50013</t>
    </r>
  </si>
  <si>
    <r>
      <rPr>
        <sz val="10"/>
        <rFont val="Arial MT"/>
        <family val="2"/>
      </rPr>
      <t>Medical Device Entrepreneurship 1</t>
    </r>
  </si>
  <si>
    <r>
      <rPr>
        <sz val="10"/>
        <rFont val="Arial MT"/>
        <family val="2"/>
      </rPr>
      <t>Case study report</t>
    </r>
  </si>
  <si>
    <r>
      <rPr>
        <sz val="10"/>
        <rFont val="Arial MT"/>
        <family val="2"/>
      </rPr>
      <t>BIOE50015</t>
    </r>
  </si>
  <si>
    <r>
      <rPr>
        <sz val="10"/>
        <rFont val="Arial MT"/>
        <family val="2"/>
      </rPr>
      <t>BSc Biomedical Technology Ventures Year 2 Summer Internship</t>
    </r>
  </si>
  <si>
    <r>
      <rPr>
        <sz val="10"/>
        <rFont val="Arial MT"/>
        <family val="2"/>
      </rPr>
      <t>Internship report</t>
    </r>
  </si>
  <si>
    <r>
      <rPr>
        <sz val="10"/>
        <rFont val="Arial MT"/>
        <family val="2"/>
      </rPr>
      <t>BIOE50016</t>
    </r>
  </si>
  <si>
    <r>
      <rPr>
        <sz val="10"/>
        <rFont val="Arial MT"/>
        <family val="2"/>
      </rPr>
      <t>Principles of Design</t>
    </r>
  </si>
  <si>
    <r>
      <rPr>
        <sz val="10"/>
        <rFont val="Arial MT"/>
        <family val="2"/>
      </rPr>
      <t>Mid-project update report</t>
    </r>
  </si>
  <si>
    <r>
      <rPr>
        <sz val="10"/>
        <rFont val="Arial MT"/>
        <family val="2"/>
      </rPr>
      <t>Video Presentation</t>
    </r>
  </si>
  <si>
    <r>
      <rPr>
        <sz val="10"/>
        <rFont val="Arial MT"/>
        <family val="2"/>
      </rPr>
      <t>BIOE60005</t>
    </r>
  </si>
  <si>
    <r>
      <rPr>
        <sz val="10"/>
        <rFont val="Arial MT"/>
        <family val="2"/>
      </rPr>
      <t>Bioengineering Group Project</t>
    </r>
  </si>
  <si>
    <r>
      <rPr>
        <sz val="10"/>
        <rFont val="Arial MT"/>
        <family val="2"/>
      </rPr>
      <t>Literature mind map</t>
    </r>
  </si>
  <si>
    <r>
      <rPr>
        <sz val="10"/>
        <rFont val="Arial MT"/>
        <family val="2"/>
      </rPr>
      <t>Literature highlights</t>
    </r>
  </si>
  <si>
    <r>
      <rPr>
        <sz val="10"/>
        <rFont val="Arial MT"/>
        <family val="2"/>
      </rPr>
      <t>Project pitch</t>
    </r>
  </si>
  <si>
    <r>
      <rPr>
        <sz val="10"/>
        <rFont val="Arial MT"/>
        <family val="2"/>
      </rPr>
      <t>Final report</t>
    </r>
  </si>
  <si>
    <r>
      <rPr>
        <sz val="10"/>
        <rFont val="Arial MT"/>
        <family val="2"/>
      </rPr>
      <t>Brochure pitch</t>
    </r>
  </si>
  <si>
    <r>
      <rPr>
        <sz val="10"/>
        <rFont val="Arial MT"/>
        <family val="2"/>
      </rPr>
      <t>Probability,
Statistics and Data Analysis</t>
    </r>
  </si>
  <si>
    <r>
      <rPr>
        <sz val="10"/>
        <rFont val="Arial MT"/>
        <family val="2"/>
      </rPr>
      <t>Matlab assignment</t>
    </r>
  </si>
  <si>
    <r>
      <rPr>
        <sz val="10"/>
        <rFont val="Arial MT"/>
        <family val="2"/>
      </rPr>
      <t>BIOE60024</t>
    </r>
  </si>
  <si>
    <r>
      <rPr>
        <sz val="10"/>
        <rFont val="Arial MT"/>
        <family val="2"/>
      </rPr>
      <t>Modelling in Biology</t>
    </r>
  </si>
  <si>
    <r>
      <rPr>
        <sz val="10"/>
        <rFont val="Arial MT"/>
        <family val="2"/>
      </rPr>
      <t>MiB part 1: Deterministic Nonlinear Dynamics</t>
    </r>
  </si>
  <si>
    <r>
      <rPr>
        <sz val="10"/>
        <rFont val="Arial MT"/>
        <family val="2"/>
      </rPr>
      <t>MIB part 2: Stochastic Processes and Networks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</si>
  <si>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</si>
  <si>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I-Explore</t>
    </r>
  </si>
  <si>
    <r>
      <rPr>
        <sz val="10"/>
        <rFont val="Arial MT"/>
        <family val="2"/>
      </rPr>
      <t>Pass/Fail</t>
    </r>
  </si>
  <si>
    <r>
      <rPr>
        <sz val="10"/>
        <rFont val="Arial MT"/>
        <family val="2"/>
      </rPr>
      <t>Set by I-Explore</t>
    </r>
  </si>
  <si>
    <t>CE</t>
  </si>
  <si>
    <t>BE</t>
  </si>
  <si>
    <t>EE</t>
  </si>
  <si>
    <t>ME</t>
  </si>
  <si>
    <t>biomedical instrumentation</t>
  </si>
  <si>
    <t>biomechanics</t>
  </si>
  <si>
    <t>biomaterials for engineers</t>
  </si>
  <si>
    <t>digital biosignal processing</t>
  </si>
  <si>
    <t>image processing</t>
  </si>
  <si>
    <t>biomedical advanced and computational stress analysis</t>
  </si>
  <si>
    <t>physiological fluid mechanics</t>
  </si>
  <si>
    <r>
      <rPr>
        <sz val="10"/>
        <rFont val="Arial MT"/>
        <family val="2"/>
      </rPr>
      <t>BIOE60002</t>
    </r>
  </si>
  <si>
    <r>
      <rPr>
        <sz val="10"/>
        <rFont val="Arial MT"/>
        <family val="2"/>
      </rPr>
      <t>Biomedical Advanced and Computational Stress Analysis</t>
    </r>
  </si>
  <si>
    <r>
      <rPr>
        <sz val="10"/>
        <rFont val="Arial MT"/>
        <family val="2"/>
      </rPr>
      <t>Technical drawing coursework</t>
    </r>
  </si>
  <si>
    <r>
      <rPr>
        <sz val="10"/>
        <rFont val="Arial MT"/>
        <family val="2"/>
      </rPr>
      <t>FEA coursework</t>
    </r>
  </si>
  <si>
    <r>
      <rPr>
        <sz val="10"/>
        <rFont val="Arial MT"/>
        <family val="2"/>
      </rPr>
      <t>Technical report - stress analysis of a part or assembly</t>
    </r>
  </si>
  <si>
    <r>
      <rPr>
        <sz val="10"/>
        <rFont val="Arial MT"/>
        <family val="2"/>
      </rPr>
      <t>BIOE60003</t>
    </r>
  </si>
  <si>
    <r>
      <rPr>
        <sz val="10"/>
        <rFont val="Arial MT"/>
        <family val="2"/>
      </rPr>
      <t>Biomedical Instrumentation</t>
    </r>
  </si>
  <si>
    <r>
      <rPr>
        <sz val="10"/>
        <rFont val="Arial MT"/>
        <family val="2"/>
      </rPr>
      <t>Impedometric respirometer lab report</t>
    </r>
  </si>
  <si>
    <r>
      <rPr>
        <sz val="10"/>
        <rFont val="Arial MT"/>
        <family val="2"/>
      </rPr>
      <t>BIOE60006</t>
    </r>
  </si>
  <si>
    <r>
      <rPr>
        <sz val="10"/>
        <rFont val="Arial MT"/>
        <family val="2"/>
      </rPr>
      <t>Digital Biosignal Processing</t>
    </r>
  </si>
  <si>
    <r>
      <rPr>
        <sz val="10"/>
        <rFont val="Arial MT"/>
        <family val="2"/>
      </rPr>
      <t>Lab exercises report 1</t>
    </r>
  </si>
  <si>
    <r>
      <rPr>
        <sz val="10"/>
        <rFont val="Arial MT"/>
        <family val="2"/>
      </rPr>
      <t>Lab exercises report 2</t>
    </r>
  </si>
  <si>
    <r>
      <rPr>
        <sz val="10"/>
        <rFont val="Arial MT"/>
        <family val="2"/>
      </rPr>
      <t>Lab exercises report 3</t>
    </r>
  </si>
  <si>
    <r>
      <rPr>
        <sz val="10"/>
        <rFont val="Arial MT"/>
        <family val="2"/>
      </rPr>
      <t>BIOE60008</t>
    </r>
  </si>
  <si>
    <r>
      <rPr>
        <sz val="10"/>
        <rFont val="Arial MT"/>
        <family val="2"/>
      </rPr>
      <t>Image Processing</t>
    </r>
  </si>
  <si>
    <r>
      <rPr>
        <sz val="10"/>
        <rFont val="Arial MT"/>
        <family val="2"/>
      </rPr>
      <t>BIOE60009</t>
    </r>
  </si>
  <si>
    <r>
      <rPr>
        <sz val="10"/>
        <rFont val="Arial MT"/>
        <family val="2"/>
      </rPr>
      <t>Physiological Fluid Mechanics</t>
    </r>
  </si>
  <si>
    <r>
      <rPr>
        <sz val="10"/>
        <rFont val="Arial MT"/>
        <family val="2"/>
      </rPr>
      <t>Problem sheet 1</t>
    </r>
  </si>
  <si>
    <r>
      <rPr>
        <sz val="10"/>
        <rFont val="Arial MT"/>
        <family val="2"/>
      </rPr>
      <t>Problem sheet 2</t>
    </r>
  </si>
  <si>
    <r>
      <rPr>
        <sz val="10"/>
        <rFont val="Arial MT"/>
        <family val="2"/>
      </rPr>
      <t>BIOE60010</t>
    </r>
  </si>
  <si>
    <r>
      <rPr>
        <sz val="10"/>
        <rFont val="Arial MT"/>
        <family val="2"/>
      </rPr>
      <t>Software Engineering for Bioengineers</t>
    </r>
  </si>
  <si>
    <r>
      <rPr>
        <sz val="10"/>
        <rFont val="Arial MT"/>
        <family val="2"/>
      </rPr>
      <t>Project report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</si>
  <si>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</si>
  <si>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Planning presentation</t>
    </r>
  </si>
  <si>
    <r>
      <rPr>
        <sz val="10"/>
        <rFont val="Arial MT"/>
        <family val="2"/>
      </rPr>
      <t>BIOE60014</t>
    </r>
  </si>
  <si>
    <r>
      <rPr>
        <sz val="10"/>
        <rFont val="Arial MT"/>
        <family val="2"/>
      </rPr>
      <t>Biomechanics</t>
    </r>
  </si>
  <si>
    <r>
      <rPr>
        <sz val="10"/>
        <rFont val="Arial MT"/>
        <family val="2"/>
      </rPr>
      <t>Coursework 1</t>
    </r>
  </si>
  <si>
    <r>
      <rPr>
        <sz val="10"/>
        <rFont val="Arial MT"/>
        <family val="2"/>
      </rPr>
      <t>Coursework 2</t>
    </r>
  </si>
  <si>
    <r>
      <rPr>
        <sz val="10"/>
        <rFont val="Arial MT"/>
        <family val="2"/>
      </rPr>
      <t>BIOE60034</t>
    </r>
  </si>
  <si>
    <r>
      <rPr>
        <sz val="10"/>
        <rFont val="Arial MT"/>
        <family val="2"/>
      </rPr>
      <t>Biomaterials for Bioengineers</t>
    </r>
  </si>
  <si>
    <r>
      <rPr>
        <sz val="10"/>
        <rFont val="Arial MT"/>
        <family val="2"/>
      </rPr>
      <t>Multiple choice quiz</t>
    </r>
  </si>
  <si>
    <r>
      <rPr>
        <sz val="10"/>
        <rFont val="Arial MT"/>
        <family val="2"/>
      </rPr>
      <t>BIOE60007</t>
    </r>
  </si>
  <si>
    <r>
      <rPr>
        <sz val="10"/>
        <rFont val="Arial MT"/>
        <family val="2"/>
      </rPr>
      <t>Human Centred Design of Assistive and Rehabilitation Devices</t>
    </r>
  </si>
  <si>
    <r>
      <rPr>
        <sz val="10"/>
        <rFont val="Arial MT"/>
        <family val="2"/>
      </rPr>
      <t>Oral exam</t>
    </r>
  </si>
  <si>
    <r>
      <rPr>
        <sz val="10"/>
        <rFont val="Arial MT"/>
        <family val="2"/>
      </rPr>
      <t>Individual report on design idea</t>
    </r>
  </si>
  <si>
    <r>
      <rPr>
        <sz val="10"/>
        <rFont val="Arial MT"/>
        <family val="2"/>
      </rPr>
      <t>Individual report on one lecture</t>
    </r>
  </si>
  <si>
    <r>
      <rPr>
        <sz val="10"/>
        <rFont val="Arial MT"/>
        <family val="2"/>
      </rPr>
      <t>Competition</t>
    </r>
  </si>
  <si>
    <r>
      <rPr>
        <sz val="10"/>
        <rFont val="Arial MT"/>
        <family val="2"/>
      </rPr>
      <t>Group report</t>
    </r>
  </si>
  <si>
    <r>
      <rPr>
        <sz val="10"/>
        <rFont val="Arial MT"/>
        <family val="2"/>
      </rPr>
      <t>BIOE60012</t>
    </r>
  </si>
  <si>
    <r>
      <rPr>
        <sz val="10"/>
        <rFont val="Arial MT"/>
        <family val="2"/>
      </rPr>
      <t>Foundations of Synthetic Biology</t>
    </r>
  </si>
  <si>
    <r>
      <rPr>
        <sz val="10"/>
        <rFont val="Arial MT"/>
        <family val="2"/>
      </rPr>
      <t>Experimental lab report</t>
    </r>
  </si>
  <si>
    <r>
      <rPr>
        <sz val="10"/>
        <rFont val="Arial MT"/>
        <family val="2"/>
      </rPr>
      <t>BIOE60013</t>
    </r>
  </si>
  <si>
    <r>
      <rPr>
        <sz val="10"/>
        <rFont val="Arial MT"/>
        <family val="2"/>
      </rPr>
      <t>Tissue Engineering and Regenerative Medicine</t>
    </r>
  </si>
  <si>
    <r>
      <rPr>
        <sz val="10"/>
        <rFont val="Arial MT"/>
        <family val="2"/>
      </rPr>
      <t>Poster</t>
    </r>
  </si>
  <si>
    <r>
      <rPr>
        <sz val="10"/>
        <rFont val="Arial MT"/>
        <family val="2"/>
      </rPr>
      <t>Poster coursework</t>
    </r>
  </si>
  <si>
    <r>
      <rPr>
        <sz val="10"/>
        <rFont val="Arial MT"/>
        <family val="2"/>
      </rPr>
      <t>BIOE70076</t>
    </r>
  </si>
  <si>
    <r>
      <rPr>
        <sz val="10"/>
        <rFont val="Arial MT"/>
        <family val="2"/>
      </rPr>
      <t>Communicating Biomedical Science and Engineering</t>
    </r>
  </si>
  <si>
    <r>
      <rPr>
        <sz val="10"/>
        <rFont val="Arial MT"/>
        <family val="2"/>
      </rPr>
      <t>Teaching activity report</t>
    </r>
  </si>
  <si>
    <r>
      <rPr>
        <sz val="10"/>
        <rFont val="Arial MT"/>
        <family val="2"/>
      </rPr>
      <t>Teacher's evaluation</t>
    </r>
  </si>
  <si>
    <r>
      <rPr>
        <sz val="10"/>
        <rFont val="Arial MT"/>
        <family val="2"/>
      </rPr>
      <t>Summary presentation</t>
    </r>
  </si>
  <si>
    <r>
      <rPr>
        <sz val="10"/>
        <rFont val="Arial MT"/>
        <family val="2"/>
      </rPr>
      <t>Reflective logbook</t>
    </r>
  </si>
  <si>
    <r>
      <rPr>
        <sz val="10"/>
        <rFont val="Arial MT"/>
        <family val="2"/>
      </rPr>
      <t>BIOE70012</t>
    </r>
  </si>
  <si>
    <r>
      <rPr>
        <sz val="10"/>
        <rFont val="Arial MT"/>
        <family val="2"/>
      </rPr>
      <t>Biomimetics</t>
    </r>
  </si>
  <si>
    <r>
      <rPr>
        <sz val="10"/>
        <rFont val="Arial MT"/>
        <family val="2"/>
      </rPr>
      <t>Journal club</t>
    </r>
  </si>
  <si>
    <r>
      <rPr>
        <sz val="10"/>
        <rFont val="Arial MT"/>
        <family val="2"/>
      </rPr>
      <t>Group poster &amp; proposal</t>
    </r>
  </si>
  <si>
    <r>
      <rPr>
        <sz val="10"/>
        <rFont val="Arial MT"/>
        <family val="2"/>
      </rPr>
      <t>COMP60005</t>
    </r>
  </si>
  <si>
    <r>
      <rPr>
        <sz val="10"/>
        <rFont val="Arial MT"/>
        <family val="2"/>
      </rPr>
      <t>Graphics</t>
    </r>
  </si>
  <si>
    <r>
      <rPr>
        <sz val="10"/>
        <rFont val="Arial MT"/>
        <family val="2"/>
      </rPr>
      <t>Set by DoC</t>
    </r>
  </si>
  <si>
    <r>
      <rPr>
        <sz val="10"/>
        <rFont val="Arial MT"/>
        <family val="2"/>
      </rPr>
      <t>ELEC60002</t>
    </r>
  </si>
  <si>
    <r>
      <rPr>
        <sz val="10"/>
        <rFont val="Arial MT"/>
        <family val="2"/>
      </rPr>
      <t>Statistical Signal Processing and Inference</t>
    </r>
  </si>
  <si>
    <r>
      <rPr>
        <sz val="10"/>
        <rFont val="Arial MT"/>
        <family val="2"/>
      </rPr>
      <t>Set by EEE</t>
    </r>
  </si>
  <si>
    <r>
      <rPr>
        <sz val="10"/>
        <rFont val="Arial MT"/>
        <family val="2"/>
      </rPr>
      <t>ELEC60004</t>
    </r>
  </si>
  <si>
    <r>
      <rPr>
        <sz val="10"/>
        <rFont val="Arial MT"/>
        <family val="2"/>
      </rPr>
      <t>Machine Reasoning</t>
    </r>
  </si>
  <si>
    <r>
      <rPr>
        <sz val="10"/>
        <rFont val="Arial MT"/>
        <family val="2"/>
      </rPr>
      <t>ELEC60008</t>
    </r>
  </si>
  <si>
    <r>
      <rPr>
        <sz val="10"/>
        <rFont val="Arial MT"/>
        <family val="2"/>
      </rPr>
      <t>Control Engineering</t>
    </r>
  </si>
  <si>
    <r>
      <rPr>
        <sz val="10"/>
        <rFont val="Arial MT"/>
        <family val="2"/>
      </rPr>
      <t>ELEC60023</t>
    </r>
  </si>
  <si>
    <r>
      <rPr>
        <sz val="10"/>
        <rFont val="Arial MT"/>
        <family val="2"/>
      </rPr>
      <t>Optoelectronics</t>
    </r>
  </si>
  <si>
    <r>
      <rPr>
        <sz val="10"/>
        <rFont val="Arial MT"/>
        <family val="2"/>
      </rPr>
      <t>ELEC60029</t>
    </r>
  </si>
  <si>
    <r>
      <rPr>
        <sz val="10"/>
        <rFont val="Arial MT"/>
        <family val="2"/>
      </rPr>
      <t>Semiconductor Devices</t>
    </r>
  </si>
  <si>
    <r>
      <rPr>
        <sz val="10"/>
        <rFont val="Arial MT"/>
        <family val="2"/>
      </rPr>
      <t>MECH60001</t>
    </r>
  </si>
  <si>
    <r>
      <rPr>
        <sz val="10"/>
        <rFont val="Arial MT"/>
        <family val="2"/>
      </rPr>
      <t>Machine Dynamics and Vibrations</t>
    </r>
  </si>
  <si>
    <r>
      <rPr>
        <sz val="10"/>
        <rFont val="Arial MT"/>
        <family val="2"/>
      </rPr>
      <t>Set by Mech Eng</t>
    </r>
  </si>
  <si>
    <r>
      <rPr>
        <sz val="10"/>
        <rFont val="Arial MT"/>
        <family val="2"/>
      </rPr>
      <t>MECH60008</t>
    </r>
  </si>
  <si>
    <r>
      <rPr>
        <sz val="10"/>
        <rFont val="Arial MT"/>
        <family val="2"/>
      </rPr>
      <t>Computational Continuum Mechanics</t>
    </r>
  </si>
  <si>
    <r>
      <rPr>
        <sz val="10"/>
        <rFont val="Arial MT"/>
        <family val="2"/>
      </rPr>
      <t>MECH60019</t>
    </r>
  </si>
  <si>
    <r>
      <rPr>
        <sz val="10"/>
        <rFont val="Arial MT"/>
        <family val="2"/>
      </rPr>
      <t>Tribology</t>
    </r>
  </si>
  <si>
    <t>Technical Elective Modules</t>
  </si>
  <si>
    <t>Non-technical Elective Modules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</si>
</sst>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8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b/>
      <sz val="8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  <fill>
      <patternFill patternType="solid">
        <fgColor rgb="FFD9D9D9"/>
        <bgColor indexed="64"/>
      </patternFill>
    </fill>
  </fills>
  <borders count="56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0" fontId="2" fillId="0" borderId="0"/>
    <xf numFmtId="0" fontId="8" fillId="0" borderId="0"/>
    <xf numFmtId="0" fontId="1" fillId="0" borderId="0"/>
    <xf numFmtId="0" fontId="9" fillId="0" borderId="0"/>
  </cellStyleXfs>
  <cellXfs count="309">
    <xf numFmtId="0" fontId="0" fillId="0" borderId="0" xfId="0"/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left" vertical="top"/>
    </xf>
    <xf numFmtId="9" fontId="7" fillId="0" borderId="8" xfId="5" applyNumberFormat="1" applyFont="1" applyBorder="1" applyAlignment="1">
      <alignment horizontal="left" vertical="center" wrapText="1" shrinkToFit="1"/>
    </xf>
    <xf numFmtId="0" fontId="14" fillId="0" borderId="8" xfId="5" applyFont="1" applyBorder="1" applyAlignment="1">
      <alignment horizontal="left" vertical="center" wrapText="1"/>
    </xf>
    <xf numFmtId="2" fontId="7" fillId="0" borderId="8" xfId="0" applyNumberFormat="1" applyFont="1" applyBorder="1" applyAlignment="1">
      <alignment horizontal="left" vertical="center" wrapText="1"/>
    </xf>
    <xf numFmtId="2" fontId="7" fillId="3" borderId="8" xfId="0" applyNumberFormat="1" applyFont="1" applyFill="1" applyBorder="1" applyAlignment="1">
      <alignment horizontal="left" vertical="center" wrapText="1"/>
    </xf>
    <xf numFmtId="2" fontId="7" fillId="0" borderId="16" xfId="0" applyNumberFormat="1" applyFont="1" applyBorder="1" applyAlignment="1">
      <alignment horizontal="left" vertical="center" wrapText="1"/>
    </xf>
    <xf numFmtId="0" fontId="3" fillId="2" borderId="15" xfId="0" applyFont="1" applyFill="1" applyBorder="1" applyAlignment="1">
      <alignment horizontal="left" vertical="center"/>
    </xf>
    <xf numFmtId="9" fontId="7" fillId="0" borderId="20" xfId="5" applyNumberFormat="1" applyFont="1" applyBorder="1" applyAlignment="1">
      <alignment horizontal="left" vertical="center" wrapText="1" shrinkToFit="1"/>
    </xf>
    <xf numFmtId="0" fontId="14" fillId="0" borderId="20" xfId="5" applyFont="1" applyBorder="1" applyAlignment="1">
      <alignment horizontal="left" vertical="center" wrapText="1"/>
    </xf>
    <xf numFmtId="2" fontId="7" fillId="0" borderId="20" xfId="0" applyNumberFormat="1" applyFont="1" applyBorder="1" applyAlignment="1">
      <alignment horizontal="left" vertical="center" wrapText="1"/>
    </xf>
    <xf numFmtId="9" fontId="7" fillId="0" borderId="16" xfId="5" applyNumberFormat="1" applyFont="1" applyBorder="1" applyAlignment="1">
      <alignment horizontal="left" vertical="center" wrapText="1" shrinkToFit="1"/>
    </xf>
    <xf numFmtId="0" fontId="14" fillId="0" borderId="16" xfId="5" applyFont="1" applyBorder="1" applyAlignment="1">
      <alignment horizontal="left" vertical="center" wrapText="1"/>
    </xf>
    <xf numFmtId="2" fontId="7" fillId="3" borderId="16" xfId="0" applyNumberFormat="1" applyFont="1" applyFill="1" applyBorder="1" applyAlignment="1">
      <alignment horizontal="left" vertical="center" wrapText="1"/>
    </xf>
    <xf numFmtId="9" fontId="7" fillId="0" borderId="21" xfId="5" applyNumberFormat="1" applyFont="1" applyBorder="1" applyAlignment="1">
      <alignment horizontal="left" vertical="center" wrapText="1" shrinkToFit="1"/>
    </xf>
    <xf numFmtId="0" fontId="14" fillId="0" borderId="21" xfId="5" applyFont="1" applyBorder="1" applyAlignment="1">
      <alignment horizontal="left" vertical="center" wrapText="1"/>
    </xf>
    <xf numFmtId="2" fontId="7" fillId="0" borderId="21" xfId="0" applyNumberFormat="1" applyFont="1" applyBorder="1" applyAlignment="1">
      <alignment horizontal="left" vertical="center" wrapText="1"/>
    </xf>
    <xf numFmtId="0" fontId="11" fillId="0" borderId="8" xfId="5" applyFont="1" applyBorder="1" applyAlignment="1">
      <alignment horizontal="left" vertical="center" wrapText="1"/>
    </xf>
    <xf numFmtId="9" fontId="13" fillId="0" borderId="8" xfId="5" applyNumberFormat="1" applyFont="1" applyBorder="1" applyAlignment="1">
      <alignment horizontal="left" vertical="center" wrapText="1" shrinkToFit="1"/>
    </xf>
    <xf numFmtId="0" fontId="15" fillId="0" borderId="8" xfId="0" applyFont="1" applyBorder="1" applyAlignment="1">
      <alignment horizontal="left" vertical="center" wrapText="1"/>
    </xf>
    <xf numFmtId="0" fontId="11" fillId="0" borderId="20" xfId="5" applyFont="1" applyBorder="1" applyAlignment="1">
      <alignment horizontal="left" vertical="center" wrapText="1"/>
    </xf>
    <xf numFmtId="9" fontId="13" fillId="0" borderId="20" xfId="5" applyNumberFormat="1" applyFont="1" applyBorder="1" applyAlignment="1">
      <alignment horizontal="left" vertical="center" wrapText="1" shrinkToFit="1"/>
    </xf>
    <xf numFmtId="0" fontId="15" fillId="0" borderId="20" xfId="0" applyFont="1" applyBorder="1" applyAlignment="1">
      <alignment horizontal="left" vertical="center" wrapText="1"/>
    </xf>
    <xf numFmtId="0" fontId="11" fillId="0" borderId="21" xfId="5" applyFont="1" applyBorder="1" applyAlignment="1">
      <alignment horizontal="left" vertical="center" wrapText="1"/>
    </xf>
    <xf numFmtId="9" fontId="13" fillId="0" borderId="21" xfId="5" applyNumberFormat="1" applyFont="1" applyBorder="1" applyAlignment="1">
      <alignment horizontal="left" vertical="center" wrapText="1" shrinkToFit="1"/>
    </xf>
    <xf numFmtId="0" fontId="15" fillId="0" borderId="21" xfId="0" applyFont="1" applyBorder="1" applyAlignment="1">
      <alignment horizontal="left" vertical="center" wrapText="1"/>
    </xf>
    <xf numFmtId="0" fontId="12" fillId="0" borderId="8" xfId="5" applyFont="1" applyBorder="1" applyAlignment="1">
      <alignment horizontal="left" vertical="center" wrapText="1"/>
    </xf>
    <xf numFmtId="0" fontId="11" fillId="0" borderId="16" xfId="5" applyFont="1" applyBorder="1" applyAlignment="1">
      <alignment horizontal="left" vertical="center" wrapText="1"/>
    </xf>
    <xf numFmtId="9" fontId="13" fillId="0" borderId="16" xfId="5" applyNumberFormat="1" applyFont="1" applyBorder="1" applyAlignment="1">
      <alignment horizontal="left" vertical="center" wrapText="1" shrinkToFit="1"/>
    </xf>
    <xf numFmtId="0" fontId="15" fillId="0" borderId="16" xfId="0" applyFont="1" applyBorder="1" applyAlignment="1">
      <alignment horizontal="left" vertical="center" wrapText="1"/>
    </xf>
    <xf numFmtId="0" fontId="16" fillId="4" borderId="33" xfId="0" applyFont="1" applyFill="1" applyBorder="1" applyAlignment="1">
      <alignment horizontal="left" vertical="center" wrapText="1"/>
    </xf>
    <xf numFmtId="0" fontId="16" fillId="4" borderId="34" xfId="0" applyFont="1" applyFill="1" applyBorder="1" applyAlignment="1">
      <alignment horizontal="left" vertical="center" wrapText="1"/>
    </xf>
    <xf numFmtId="0" fontId="16" fillId="4" borderId="35" xfId="0" applyFont="1" applyFill="1" applyBorder="1" applyAlignment="1">
      <alignment horizontal="left" vertical="center" wrapText="1"/>
    </xf>
    <xf numFmtId="0" fontId="6" fillId="0" borderId="8" xfId="0" applyFont="1" applyBorder="1" applyAlignment="1">
      <alignment horizontal="left" vertical="center" wrapText="1"/>
    </xf>
    <xf numFmtId="9" fontId="4" fillId="0" borderId="8" xfId="0" applyNumberFormat="1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0" fontId="6" fillId="0" borderId="20" xfId="0" applyFont="1" applyBorder="1" applyAlignment="1">
      <alignment horizontal="left" vertical="center" wrapText="1"/>
    </xf>
    <xf numFmtId="9" fontId="4" fillId="0" borderId="20" xfId="0" applyNumberFormat="1" applyFont="1" applyBorder="1" applyAlignment="1">
      <alignment horizontal="left" vertical="center" wrapText="1"/>
    </xf>
    <xf numFmtId="0" fontId="4" fillId="0" borderId="20" xfId="0" applyFont="1" applyBorder="1" applyAlignment="1">
      <alignment horizontal="left" vertical="center" wrapText="1"/>
    </xf>
    <xf numFmtId="2" fontId="4" fillId="0" borderId="20" xfId="0" applyNumberFormat="1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vertical="center" wrapText="1"/>
    </xf>
    <xf numFmtId="9" fontId="4" fillId="0" borderId="21" xfId="0" applyNumberFormat="1" applyFont="1" applyBorder="1" applyAlignment="1">
      <alignment horizontal="left" vertical="center" wrapText="1"/>
    </xf>
    <xf numFmtId="2" fontId="4" fillId="0" borderId="21" xfId="0" applyNumberFormat="1" applyFont="1" applyBorder="1" applyAlignment="1">
      <alignment horizontal="left" vertical="center" wrapText="1"/>
    </xf>
    <xf numFmtId="0" fontId="4" fillId="0" borderId="16" xfId="0" applyFont="1" applyBorder="1" applyAlignment="1">
      <alignment horizontal="left" vertical="center" wrapText="1"/>
    </xf>
    <xf numFmtId="9" fontId="4" fillId="0" borderId="16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164" fontId="4" fillId="0" borderId="8" xfId="0" applyNumberFormat="1" applyFont="1" applyBorder="1" applyAlignment="1">
      <alignment horizontal="left" vertical="center" wrapText="1"/>
    </xf>
    <xf numFmtId="9" fontId="6" fillId="0" borderId="8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left" vertical="center" wrapText="1"/>
    </xf>
    <xf numFmtId="2" fontId="6" fillId="0" borderId="20" xfId="0" applyNumberFormat="1" applyFont="1" applyBorder="1" applyAlignment="1">
      <alignment horizontal="left" vertical="center" wrapText="1"/>
    </xf>
    <xf numFmtId="164" fontId="4" fillId="0" borderId="16" xfId="0" applyNumberFormat="1" applyFont="1" applyBorder="1" applyAlignment="1">
      <alignment horizontal="left" vertical="center" wrapText="1"/>
    </xf>
    <xf numFmtId="0" fontId="6" fillId="0" borderId="16" xfId="0" applyFont="1" applyBorder="1" applyAlignment="1">
      <alignment horizontal="left" vertical="center" wrapText="1"/>
    </xf>
    <xf numFmtId="9" fontId="6" fillId="0" borderId="16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9" fontId="13" fillId="0" borderId="8" xfId="0" applyNumberFormat="1" applyFont="1" applyBorder="1" applyAlignment="1">
      <alignment horizontal="left" vertical="center" wrapText="1" shrinkToFit="1"/>
    </xf>
    <xf numFmtId="0" fontId="11" fillId="0" borderId="20" xfId="0" applyFont="1" applyBorder="1" applyAlignment="1">
      <alignment horizontal="left" vertical="center" wrapText="1"/>
    </xf>
    <xf numFmtId="9" fontId="13" fillId="0" borderId="20" xfId="0" applyNumberFormat="1" applyFont="1" applyBorder="1" applyAlignment="1">
      <alignment horizontal="left" vertical="center" wrapText="1" shrinkToFit="1"/>
    </xf>
    <xf numFmtId="0" fontId="16" fillId="4" borderId="36" xfId="0" applyFont="1" applyFill="1" applyBorder="1" applyAlignment="1">
      <alignment horizontal="left" vertical="center" wrapText="1"/>
    </xf>
    <xf numFmtId="0" fontId="16" fillId="4" borderId="38" xfId="0" applyFont="1" applyFill="1" applyBorder="1" applyAlignment="1">
      <alignment horizontal="left" vertical="center" wrapText="1"/>
    </xf>
    <xf numFmtId="0" fontId="16" fillId="4" borderId="39" xfId="0" applyFont="1" applyFill="1" applyBorder="1" applyAlignment="1">
      <alignment horizontal="left" vertical="center" wrapText="1"/>
    </xf>
    <xf numFmtId="0" fontId="11" fillId="0" borderId="16" xfId="0" applyFont="1" applyBorder="1" applyAlignment="1">
      <alignment horizontal="left" vertical="center" wrapText="1"/>
    </xf>
    <xf numFmtId="9" fontId="13" fillId="0" borderId="16" xfId="0" applyNumberFormat="1" applyFont="1" applyBorder="1" applyAlignment="1">
      <alignment horizontal="left" vertical="center" wrapText="1" shrinkToFit="1"/>
    </xf>
    <xf numFmtId="9" fontId="13" fillId="0" borderId="20" xfId="1" applyFont="1" applyFill="1" applyBorder="1" applyAlignment="1">
      <alignment horizontal="left" vertical="center" wrapText="1" shrinkToFit="1"/>
    </xf>
    <xf numFmtId="9" fontId="13" fillId="0" borderId="8" xfId="1" applyFont="1" applyFill="1" applyBorder="1" applyAlignment="1">
      <alignment horizontal="left" vertical="center" wrapText="1" shrinkToFit="1"/>
    </xf>
    <xf numFmtId="9" fontId="13" fillId="0" borderId="16" xfId="1" applyFont="1" applyFill="1" applyBorder="1" applyAlignment="1">
      <alignment horizontal="left" vertical="center" wrapText="1" shrinkToFit="1"/>
    </xf>
    <xf numFmtId="1" fontId="13" fillId="0" borderId="34" xfId="0" applyNumberFormat="1" applyFont="1" applyBorder="1" applyAlignment="1">
      <alignment horizontal="center" vertical="center" wrapText="1" shrinkToFit="1"/>
    </xf>
    <xf numFmtId="9" fontId="13" fillId="0" borderId="34" xfId="0" applyNumberFormat="1" applyFont="1" applyBorder="1" applyAlignment="1">
      <alignment horizontal="center" vertical="center" wrapText="1" shrinkToFit="1"/>
    </xf>
    <xf numFmtId="0" fontId="17" fillId="0" borderId="34" xfId="0" applyFont="1" applyBorder="1" applyAlignment="1">
      <alignment horizontal="left" vertical="center" wrapText="1"/>
    </xf>
    <xf numFmtId="9" fontId="1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left" vertical="center" wrapText="1"/>
    </xf>
    <xf numFmtId="2" fontId="7" fillId="0" borderId="34" xfId="0" applyNumberFormat="1" applyFont="1" applyBorder="1" applyAlignment="1">
      <alignment horizontal="center" vertical="center" wrapText="1"/>
    </xf>
    <xf numFmtId="2" fontId="7" fillId="0" borderId="35" xfId="0" applyNumberFormat="1" applyFont="1" applyBorder="1" applyAlignment="1">
      <alignment horizontal="center" vertical="center" wrapText="1"/>
    </xf>
    <xf numFmtId="0" fontId="11" fillId="0" borderId="40" xfId="0" applyFont="1" applyBorder="1" applyAlignment="1">
      <alignment horizontal="left" vertical="center" wrapText="1"/>
    </xf>
    <xf numFmtId="0" fontId="11" fillId="0" borderId="37" xfId="0" applyFont="1" applyBorder="1" applyAlignment="1">
      <alignment horizontal="left" vertical="center" wrapText="1"/>
    </xf>
    <xf numFmtId="0" fontId="11" fillId="0" borderId="41" xfId="0" applyFont="1" applyBorder="1" applyAlignment="1">
      <alignment horizontal="left" vertical="center" wrapText="1"/>
    </xf>
    <xf numFmtId="0" fontId="11" fillId="0" borderId="42" xfId="0" applyFont="1" applyBorder="1" applyAlignment="1">
      <alignment horizontal="left" vertical="center" wrapText="1"/>
    </xf>
    <xf numFmtId="1" fontId="13" fillId="0" borderId="38" xfId="0" applyNumberFormat="1" applyFont="1" applyBorder="1" applyAlignment="1">
      <alignment horizontal="center" vertical="center" wrapText="1" shrinkToFit="1"/>
    </xf>
    <xf numFmtId="9" fontId="13" fillId="0" borderId="38" xfId="0" applyNumberFormat="1" applyFont="1" applyBorder="1" applyAlignment="1">
      <alignment horizontal="center" vertical="center" wrapText="1" shrinkToFit="1"/>
    </xf>
    <xf numFmtId="0" fontId="17" fillId="0" borderId="38" xfId="0" applyFont="1" applyBorder="1" applyAlignment="1">
      <alignment horizontal="left" vertical="center" wrapText="1"/>
    </xf>
    <xf numFmtId="9" fontId="1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center" vertical="center" wrapText="1"/>
    </xf>
    <xf numFmtId="2" fontId="7" fillId="0" borderId="39" xfId="0" applyNumberFormat="1" applyFont="1" applyBorder="1" applyAlignment="1">
      <alignment horizontal="center" vertical="center" wrapText="1"/>
    </xf>
    <xf numFmtId="1" fontId="13" fillId="0" borderId="34" xfId="5" applyNumberFormat="1" applyFont="1" applyBorder="1" applyAlignment="1">
      <alignment horizontal="center" vertical="center" wrapText="1" shrinkToFit="1"/>
    </xf>
    <xf numFmtId="9" fontId="13" fillId="0" borderId="34" xfId="5" applyNumberFormat="1" applyFont="1" applyBorder="1" applyAlignment="1">
      <alignment horizontal="center" vertical="center" wrapText="1" shrinkToFit="1"/>
    </xf>
    <xf numFmtId="0" fontId="17" fillId="0" borderId="34" xfId="5" applyFont="1" applyBorder="1" applyAlignment="1">
      <alignment horizontal="left" vertical="center" wrapText="1"/>
    </xf>
    <xf numFmtId="9" fontId="17" fillId="0" borderId="34" xfId="5" applyNumberFormat="1" applyFont="1" applyBorder="1" applyAlignment="1">
      <alignment horizontal="left" vertical="center" wrapText="1"/>
    </xf>
    <xf numFmtId="0" fontId="11" fillId="0" borderId="40" xfId="5" applyFont="1" applyBorder="1" applyAlignment="1">
      <alignment horizontal="left" vertical="center" wrapText="1"/>
    </xf>
    <xf numFmtId="0" fontId="11" fillId="0" borderId="37" xfId="5" applyFont="1" applyBorder="1" applyAlignment="1">
      <alignment horizontal="left" vertical="center" wrapText="1"/>
    </xf>
    <xf numFmtId="0" fontId="11" fillId="0" borderId="41" xfId="5" applyFont="1" applyBorder="1" applyAlignment="1">
      <alignment horizontal="left" vertical="center" wrapText="1"/>
    </xf>
    <xf numFmtId="0" fontId="11" fillId="0" borderId="42" xfId="5" applyFont="1" applyBorder="1" applyAlignment="1">
      <alignment horizontal="left" vertical="center" wrapText="1"/>
    </xf>
    <xf numFmtId="1" fontId="13" fillId="0" borderId="38" xfId="5" applyNumberFormat="1" applyFont="1" applyBorder="1" applyAlignment="1">
      <alignment horizontal="center" vertical="center" wrapText="1" shrinkToFit="1"/>
    </xf>
    <xf numFmtId="9" fontId="13" fillId="0" borderId="38" xfId="5" applyNumberFormat="1" applyFont="1" applyBorder="1" applyAlignment="1">
      <alignment horizontal="center" vertical="center" wrapText="1" shrinkToFit="1"/>
    </xf>
    <xf numFmtId="0" fontId="17" fillId="0" borderId="38" xfId="5" applyFont="1" applyBorder="1" applyAlignment="1">
      <alignment horizontal="left" vertical="center" wrapText="1"/>
    </xf>
    <xf numFmtId="9" fontId="17" fillId="0" borderId="38" xfId="5" applyNumberFormat="1" applyFont="1" applyBorder="1" applyAlignment="1">
      <alignment horizontal="left" vertical="center" wrapText="1"/>
    </xf>
    <xf numFmtId="0" fontId="11" fillId="0" borderId="38" xfId="5" applyFont="1" applyBorder="1" applyAlignment="1">
      <alignment horizontal="left" vertical="center" wrapText="1"/>
    </xf>
    <xf numFmtId="9" fontId="13" fillId="0" borderId="38" xfId="5" applyNumberFormat="1" applyFont="1" applyBorder="1" applyAlignment="1">
      <alignment horizontal="left" vertical="center" wrapText="1" shrinkToFit="1"/>
    </xf>
    <xf numFmtId="0" fontId="11" fillId="0" borderId="43" xfId="5" applyFont="1" applyBorder="1" applyAlignment="1">
      <alignment horizontal="left" vertical="center" wrapText="1"/>
    </xf>
    <xf numFmtId="9" fontId="13" fillId="0" borderId="43" xfId="5" applyNumberFormat="1" applyFont="1" applyBorder="1" applyAlignment="1">
      <alignment horizontal="left" vertical="center" wrapText="1" shrinkToFit="1"/>
    </xf>
    <xf numFmtId="2" fontId="7" fillId="0" borderId="43" xfId="0" applyNumberFormat="1" applyFont="1" applyBorder="1" applyAlignment="1">
      <alignment horizontal="left" vertical="center" wrapText="1"/>
    </xf>
    <xf numFmtId="2" fontId="0" fillId="0" borderId="8" xfId="0" applyNumberFormat="1" applyBorder="1" applyAlignment="1">
      <alignment horizontal="left" vertical="center" wrapText="1"/>
    </xf>
    <xf numFmtId="0" fontId="3" fillId="2" borderId="47" xfId="0" applyFont="1" applyFill="1" applyBorder="1" applyAlignment="1">
      <alignment vertical="center"/>
    </xf>
    <xf numFmtId="0" fontId="3" fillId="2" borderId="48" xfId="0" applyFont="1" applyFill="1" applyBorder="1" applyAlignment="1">
      <alignment vertical="center"/>
    </xf>
    <xf numFmtId="0" fontId="3" fillId="2" borderId="49" xfId="0" applyFont="1" applyFill="1" applyBorder="1" applyAlignment="1">
      <alignment vertical="center"/>
    </xf>
    <xf numFmtId="2" fontId="0" fillId="0" borderId="20" xfId="0" applyNumberFormat="1" applyBorder="1" applyAlignment="1">
      <alignment horizontal="left" vertical="center" wrapText="1"/>
    </xf>
    <xf numFmtId="0" fontId="11" fillId="0" borderId="21" xfId="0" applyFont="1" applyBorder="1" applyAlignment="1">
      <alignment horizontal="left" vertical="center" wrapText="1"/>
    </xf>
    <xf numFmtId="9" fontId="13" fillId="0" borderId="21" xfId="0" applyNumberFormat="1" applyFont="1" applyBorder="1" applyAlignment="1">
      <alignment horizontal="left" vertical="center" wrapText="1" shrinkToFit="1"/>
    </xf>
    <xf numFmtId="2" fontId="0" fillId="0" borderId="16" xfId="0" applyNumberForma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  <xf numFmtId="0" fontId="11" fillId="0" borderId="50" xfId="0" applyFont="1" applyBorder="1" applyAlignment="1">
      <alignment horizontal="left" vertical="center" wrapText="1"/>
    </xf>
    <xf numFmtId="0" fontId="11" fillId="0" borderId="51" xfId="0" applyFont="1" applyBorder="1" applyAlignment="1">
      <alignment horizontal="left" vertical="center" wrapText="1"/>
    </xf>
    <xf numFmtId="1" fontId="13" fillId="0" borderId="52" xfId="0" applyNumberFormat="1" applyFont="1" applyBorder="1" applyAlignment="1">
      <alignment horizontal="center" vertical="center" wrapText="1" shrinkToFit="1"/>
    </xf>
    <xf numFmtId="0" fontId="11" fillId="0" borderId="52" xfId="0" applyFont="1" applyBorder="1" applyAlignment="1">
      <alignment horizontal="center" vertical="center" wrapText="1"/>
    </xf>
    <xf numFmtId="0" fontId="11" fillId="0" borderId="52" xfId="0" applyFont="1" applyBorder="1" applyAlignment="1">
      <alignment horizontal="left" vertical="center" wrapText="1"/>
    </xf>
    <xf numFmtId="9" fontId="0" fillId="0" borderId="52" xfId="0" applyNumberFormat="1" applyBorder="1" applyAlignment="1">
      <alignment horizontal="left" vertical="center" wrapText="1"/>
    </xf>
    <xf numFmtId="0" fontId="0" fillId="0" borderId="52" xfId="0" applyBorder="1" applyAlignment="1">
      <alignment horizontal="left" vertical="center" wrapText="1"/>
    </xf>
    <xf numFmtId="2" fontId="0" fillId="0" borderId="52" xfId="0" applyNumberFormat="1" applyBorder="1" applyAlignment="1">
      <alignment horizontal="left" vertical="center" wrapText="1"/>
    </xf>
    <xf numFmtId="2" fontId="0" fillId="0" borderId="52" xfId="0" applyNumberFormat="1" applyBorder="1" applyAlignment="1">
      <alignment horizontal="center" vertical="center" wrapText="1"/>
    </xf>
    <xf numFmtId="2" fontId="0" fillId="0" borderId="53" xfId="0" applyNumberFormat="1" applyBorder="1" applyAlignment="1">
      <alignment horizontal="center" vertical="center" wrapText="1"/>
    </xf>
    <xf numFmtId="0" fontId="3" fillId="2" borderId="54" xfId="0" applyFont="1" applyFill="1" applyBorder="1" applyAlignment="1">
      <alignment vertical="center"/>
    </xf>
    <xf numFmtId="0" fontId="3" fillId="2" borderId="10" xfId="0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2" borderId="12" xfId="0" applyFont="1" applyFill="1" applyBorder="1" applyAlignment="1">
      <alignment vertical="center"/>
    </xf>
    <xf numFmtId="0" fontId="3" fillId="2" borderId="13" xfId="0" applyFont="1" applyFill="1" applyBorder="1" applyAlignment="1">
      <alignment vertical="center"/>
    </xf>
    <xf numFmtId="0" fontId="11" fillId="0" borderId="43" xfId="0" applyFont="1" applyBorder="1" applyAlignment="1">
      <alignment horizontal="left" vertical="center" wrapText="1"/>
    </xf>
    <xf numFmtId="9" fontId="13" fillId="0" borderId="43" xfId="0" applyNumberFormat="1" applyFont="1" applyBorder="1" applyAlignment="1">
      <alignment horizontal="left" vertical="center" wrapText="1" shrinkToFit="1"/>
    </xf>
    <xf numFmtId="165" fontId="13" fillId="0" borderId="34" xfId="0" applyNumberFormat="1" applyFont="1" applyBorder="1" applyAlignment="1">
      <alignment horizontal="center" vertical="center" wrapText="1" shrinkToFit="1"/>
    </xf>
    <xf numFmtId="9" fontId="7" fillId="0" borderId="34" xfId="0" applyNumberFormat="1" applyFont="1" applyBorder="1" applyAlignment="1">
      <alignment horizontal="left" vertical="center" wrapText="1"/>
    </xf>
    <xf numFmtId="0" fontId="7" fillId="0" borderId="34" xfId="0" applyFont="1" applyBorder="1" applyAlignment="1">
      <alignment horizontal="left" vertical="center" wrapText="1"/>
    </xf>
    <xf numFmtId="165" fontId="13" fillId="0" borderId="38" xfId="0" applyNumberFormat="1" applyFont="1" applyBorder="1" applyAlignment="1">
      <alignment horizontal="center" vertical="center" wrapText="1" shrinkToFit="1"/>
    </xf>
    <xf numFmtId="0" fontId="11" fillId="0" borderId="38" xfId="0" applyFont="1" applyBorder="1" applyAlignment="1">
      <alignment horizontal="left" vertical="center" wrapText="1"/>
    </xf>
    <xf numFmtId="9" fontId="7" fillId="0" borderId="38" xfId="0" applyNumberFormat="1" applyFont="1" applyBorder="1" applyAlignment="1">
      <alignment horizontal="left" vertical="center" wrapText="1"/>
    </xf>
    <xf numFmtId="0" fontId="7" fillId="0" borderId="38" xfId="0" applyFont="1" applyBorder="1" applyAlignment="1">
      <alignment horizontal="left" vertical="center" wrapText="1"/>
    </xf>
    <xf numFmtId="9" fontId="4" fillId="0" borderId="8" xfId="1" applyFont="1" applyFill="1" applyBorder="1" applyAlignment="1">
      <alignment horizontal="left" vertical="center" wrapText="1"/>
    </xf>
    <xf numFmtId="9" fontId="4" fillId="0" borderId="20" xfId="1" applyFont="1" applyFill="1" applyBorder="1" applyAlignment="1">
      <alignment horizontal="left" vertical="center" wrapText="1"/>
    </xf>
    <xf numFmtId="9" fontId="4" fillId="0" borderId="16" xfId="1" applyFont="1" applyFill="1" applyBorder="1" applyAlignment="1">
      <alignment horizontal="left"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34" xfId="0" applyFont="1" applyBorder="1" applyAlignment="1">
      <alignment horizontal="center" vertical="center" wrapText="1"/>
    </xf>
    <xf numFmtId="9" fontId="4" fillId="0" borderId="34" xfId="0" applyNumberFormat="1" applyFont="1" applyBorder="1" applyAlignment="1">
      <alignment horizontal="center" vertical="center" wrapText="1"/>
    </xf>
    <xf numFmtId="9" fontId="4" fillId="0" borderId="34" xfId="0" applyNumberFormat="1" applyFont="1" applyBorder="1" applyAlignment="1">
      <alignment horizontal="left" vertical="center" wrapText="1"/>
    </xf>
    <xf numFmtId="2" fontId="4" fillId="0" borderId="34" xfId="0" applyNumberFormat="1" applyFont="1" applyBorder="1" applyAlignment="1">
      <alignment horizontal="left" vertical="center" wrapText="1"/>
    </xf>
    <xf numFmtId="2" fontId="4" fillId="0" borderId="34" xfId="0" applyNumberFormat="1" applyFont="1" applyBorder="1" applyAlignment="1">
      <alignment horizontal="center" vertical="center" wrapText="1"/>
    </xf>
    <xf numFmtId="0" fontId="4" fillId="0" borderId="40" xfId="0" applyFont="1" applyBorder="1" applyAlignment="1">
      <alignment horizontal="left" vertical="center" wrapText="1"/>
    </xf>
    <xf numFmtId="0" fontId="4" fillId="0" borderId="37" xfId="0" applyFont="1" applyBorder="1" applyAlignment="1">
      <alignment horizontal="left" vertical="center" wrapText="1"/>
    </xf>
    <xf numFmtId="0" fontId="4" fillId="0" borderId="41" xfId="0" applyFont="1" applyBorder="1" applyAlignment="1">
      <alignment horizontal="left" vertical="center" wrapText="1"/>
    </xf>
    <xf numFmtId="0" fontId="4" fillId="0" borderId="42" xfId="0" applyFont="1" applyBorder="1" applyAlignment="1">
      <alignment horizontal="left" vertical="center" wrapText="1"/>
    </xf>
    <xf numFmtId="0" fontId="4" fillId="0" borderId="38" xfId="0" applyFont="1" applyBorder="1" applyAlignment="1">
      <alignment horizontal="center" vertical="center" wrapText="1"/>
    </xf>
    <xf numFmtId="9" fontId="4" fillId="0" borderId="38" xfId="0" applyNumberFormat="1" applyFont="1" applyBorder="1" applyAlignment="1">
      <alignment horizontal="center" vertical="center" wrapText="1"/>
    </xf>
    <xf numFmtId="0" fontId="4" fillId="0" borderId="38" xfId="0" applyFont="1" applyBorder="1" applyAlignment="1">
      <alignment horizontal="left" vertical="center" wrapText="1"/>
    </xf>
    <xf numFmtId="9" fontId="4" fillId="0" borderId="38" xfId="0" applyNumberFormat="1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left" vertical="center" wrapText="1"/>
    </xf>
    <xf numFmtId="2" fontId="4" fillId="0" borderId="38" xfId="0" applyNumberFormat="1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2" fontId="7" fillId="0" borderId="20" xfId="0" applyNumberFormat="1" applyFont="1" applyBorder="1" applyAlignment="1">
      <alignment horizontal="center" vertical="center" wrapText="1"/>
    </xf>
    <xf numFmtId="2" fontId="7" fillId="0" borderId="8" xfId="0" applyNumberFormat="1" applyFont="1" applyBorder="1" applyAlignment="1">
      <alignment horizontal="center" vertical="center" wrapText="1"/>
    </xf>
    <xf numFmtId="2" fontId="7" fillId="0" borderId="16" xfId="0" applyNumberFormat="1" applyFont="1" applyBorder="1" applyAlignment="1">
      <alignment horizontal="center" vertical="center" wrapText="1"/>
    </xf>
    <xf numFmtId="0" fontId="14" fillId="0" borderId="27" xfId="5" applyFont="1" applyBorder="1" applyAlignment="1">
      <alignment horizontal="left" vertical="center" wrapText="1"/>
    </xf>
    <xf numFmtId="0" fontId="14" fillId="0" borderId="28" xfId="5" applyFont="1" applyBorder="1" applyAlignment="1">
      <alignment horizontal="left" vertical="center" wrapText="1"/>
    </xf>
    <xf numFmtId="0" fontId="14" fillId="0" borderId="30" xfId="5" applyFont="1" applyBorder="1" applyAlignment="1">
      <alignment horizontal="left" vertical="center" wrapText="1"/>
    </xf>
    <xf numFmtId="0" fontId="14" fillId="0" borderId="25" xfId="5" applyFont="1" applyBorder="1" applyAlignment="1">
      <alignment horizontal="left" vertical="center" wrapText="1"/>
    </xf>
    <xf numFmtId="0" fontId="14" fillId="0" borderId="14" xfId="5" applyFont="1" applyBorder="1" applyAlignment="1">
      <alignment horizontal="left" vertical="center" wrapText="1"/>
    </xf>
    <xf numFmtId="0" fontId="14" fillId="0" borderId="31" xfId="5" applyFont="1" applyBorder="1" applyAlignment="1">
      <alignment horizontal="left" vertical="center" wrapText="1"/>
    </xf>
    <xf numFmtId="1" fontId="7" fillId="0" borderId="20" xfId="5" applyNumberFormat="1" applyFont="1" applyBorder="1" applyAlignment="1">
      <alignment horizontal="center" vertical="center" wrapText="1" shrinkToFit="1"/>
    </xf>
    <xf numFmtId="1" fontId="7" fillId="0" borderId="8" xfId="5" applyNumberFormat="1" applyFont="1" applyBorder="1" applyAlignment="1">
      <alignment horizontal="center" vertical="center" wrapText="1" shrinkToFit="1"/>
    </xf>
    <xf numFmtId="1" fontId="7" fillId="0" borderId="16" xfId="5" applyNumberFormat="1" applyFont="1" applyBorder="1" applyAlignment="1">
      <alignment horizontal="center" vertical="center" wrapText="1" shrinkToFit="1"/>
    </xf>
    <xf numFmtId="9" fontId="7" fillId="0" borderId="20" xfId="5" applyNumberFormat="1" applyFont="1" applyBorder="1" applyAlignment="1">
      <alignment horizontal="center" vertical="center" wrapText="1" shrinkToFit="1"/>
    </xf>
    <xf numFmtId="9" fontId="7" fillId="0" borderId="8" xfId="5" applyNumberFormat="1" applyFont="1" applyBorder="1" applyAlignment="1">
      <alignment horizontal="center" vertical="center" wrapText="1" shrinkToFit="1"/>
    </xf>
    <xf numFmtId="9" fontId="7" fillId="0" borderId="16" xfId="5" applyNumberFormat="1" applyFont="1" applyBorder="1" applyAlignment="1">
      <alignment horizontal="center" vertical="center" wrapText="1" shrinkToFit="1"/>
    </xf>
    <xf numFmtId="2" fontId="7" fillId="0" borderId="21" xfId="0" applyNumberFormat="1" applyFont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left" vertical="center"/>
    </xf>
    <xf numFmtId="0" fontId="3" fillId="2" borderId="19" xfId="0" applyFont="1" applyFill="1" applyBorder="1" applyAlignment="1">
      <alignment horizontal="left" vertical="center"/>
    </xf>
    <xf numFmtId="0" fontId="14" fillId="0" borderId="29" xfId="5" applyFont="1" applyBorder="1" applyAlignment="1">
      <alignment horizontal="left" vertical="center" wrapText="1"/>
    </xf>
    <xf numFmtId="0" fontId="14" fillId="0" borderId="26" xfId="5" applyFont="1" applyBorder="1" applyAlignment="1">
      <alignment horizontal="left" vertical="center" wrapText="1"/>
    </xf>
    <xf numFmtId="1" fontId="7" fillId="0" borderId="21" xfId="5" applyNumberFormat="1" applyFont="1" applyBorder="1" applyAlignment="1">
      <alignment horizontal="center" vertical="center" wrapText="1" shrinkToFit="1"/>
    </xf>
    <xf numFmtId="9" fontId="7" fillId="0" borderId="21" xfId="5" applyNumberFormat="1" applyFont="1" applyBorder="1" applyAlignment="1">
      <alignment horizontal="center" vertical="center" wrapText="1" shrinkToFit="1"/>
    </xf>
    <xf numFmtId="2" fontId="7" fillId="0" borderId="22" xfId="0" applyNumberFormat="1" applyFont="1" applyBorder="1" applyAlignment="1">
      <alignment horizontal="center" vertical="center" wrapText="1"/>
    </xf>
    <xf numFmtId="2" fontId="7" fillId="0" borderId="32" xfId="0" applyNumberFormat="1" applyFont="1" applyBorder="1" applyAlignment="1">
      <alignment horizontal="center" vertical="center" wrapText="1"/>
    </xf>
    <xf numFmtId="2" fontId="7" fillId="0" borderId="23" xfId="0" applyNumberFormat="1" applyFont="1" applyBorder="1" applyAlignment="1">
      <alignment horizontal="center" vertical="center" wrapText="1"/>
    </xf>
    <xf numFmtId="2" fontId="7" fillId="0" borderId="24" xfId="0" applyNumberFormat="1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center" vertical="center" wrapText="1"/>
    </xf>
    <xf numFmtId="2" fontId="4" fillId="0" borderId="8" xfId="0" applyNumberFormat="1" applyFont="1" applyBorder="1" applyAlignment="1">
      <alignment horizontal="center" vertical="center" wrapText="1"/>
    </xf>
    <xf numFmtId="2" fontId="4" fillId="0" borderId="16" xfId="0" applyNumberFormat="1" applyFont="1" applyBorder="1" applyAlignment="1">
      <alignment horizontal="center" vertical="center" wrapText="1"/>
    </xf>
    <xf numFmtId="0" fontId="4" fillId="0" borderId="25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4" fillId="0" borderId="20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2" fontId="4" fillId="0" borderId="20" xfId="0" applyNumberFormat="1" applyFont="1" applyBorder="1" applyAlignment="1">
      <alignment horizontal="left" vertical="center" wrapText="1"/>
    </xf>
    <xf numFmtId="2" fontId="4" fillId="0" borderId="8" xfId="0" applyNumberFormat="1" applyFont="1" applyBorder="1" applyAlignment="1">
      <alignment horizontal="left" vertical="center" wrapText="1"/>
    </xf>
    <xf numFmtId="2" fontId="4" fillId="0" borderId="16" xfId="0" applyNumberFormat="1" applyFont="1" applyBorder="1" applyAlignment="1">
      <alignment horizontal="left" vertical="center" wrapText="1"/>
    </xf>
    <xf numFmtId="9" fontId="4" fillId="0" borderId="20" xfId="0" applyNumberFormat="1" applyFont="1" applyBorder="1" applyAlignment="1">
      <alignment horizontal="center" vertical="center" wrapText="1"/>
    </xf>
    <xf numFmtId="9" fontId="4" fillId="0" borderId="8" xfId="0" applyNumberFormat="1" applyFont="1" applyBorder="1" applyAlignment="1">
      <alignment horizontal="center" vertical="center" wrapText="1"/>
    </xf>
    <xf numFmtId="9" fontId="4" fillId="0" borderId="16" xfId="0" applyNumberFormat="1" applyFont="1" applyBorder="1" applyAlignment="1">
      <alignment horizontal="center" vertical="center" wrapText="1"/>
    </xf>
    <xf numFmtId="2" fontId="4" fillId="0" borderId="21" xfId="0" applyNumberFormat="1" applyFont="1" applyBorder="1" applyAlignment="1">
      <alignment horizontal="center" vertical="center" wrapText="1"/>
    </xf>
    <xf numFmtId="0" fontId="5" fillId="0" borderId="26" xfId="0" applyFont="1" applyBorder="1" applyAlignment="1">
      <alignment horizontal="left" vertical="center" wrapText="1"/>
    </xf>
    <xf numFmtId="0" fontId="5" fillId="0" borderId="21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center" wrapText="1"/>
    </xf>
    <xf numFmtId="0" fontId="5" fillId="0" borderId="28" xfId="0" applyFont="1" applyBorder="1" applyAlignment="1">
      <alignment horizontal="left" vertical="center" wrapText="1"/>
    </xf>
    <xf numFmtId="0" fontId="5" fillId="0" borderId="30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30" xfId="0" applyFont="1" applyBorder="1" applyAlignment="1">
      <alignment horizontal="left" vertical="center" wrapText="1"/>
    </xf>
    <xf numFmtId="0" fontId="5" fillId="0" borderId="29" xfId="0" applyFont="1" applyBorder="1" applyAlignment="1">
      <alignment horizontal="left" vertical="center" wrapText="1"/>
    </xf>
    <xf numFmtId="0" fontId="4" fillId="0" borderId="14" xfId="0" applyFont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3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16" fillId="4" borderId="34" xfId="0" applyFont="1" applyFill="1" applyBorder="1" applyAlignment="1">
      <alignment horizontal="left" vertical="center" wrapText="1"/>
    </xf>
    <xf numFmtId="2" fontId="15" fillId="0" borderId="22" xfId="0" applyNumberFormat="1" applyFont="1" applyBorder="1" applyAlignment="1">
      <alignment horizontal="center" vertical="center" wrapText="1"/>
    </xf>
    <xf numFmtId="2" fontId="15" fillId="0" borderId="23" xfId="0" applyNumberFormat="1" applyFont="1" applyBorder="1" applyAlignment="1">
      <alignment horizontal="center" vertical="center" wrapText="1"/>
    </xf>
    <xf numFmtId="2" fontId="15" fillId="0" borderId="32" xfId="0" applyNumberFormat="1" applyFont="1" applyBorder="1" applyAlignment="1">
      <alignment horizontal="center" vertical="center" wrapText="1"/>
    </xf>
    <xf numFmtId="2" fontId="15" fillId="0" borderId="20" xfId="0" applyNumberFormat="1" applyFont="1" applyBorder="1" applyAlignment="1">
      <alignment horizontal="center" vertical="center" wrapText="1"/>
    </xf>
    <xf numFmtId="2" fontId="15" fillId="0" borderId="21" xfId="0" applyNumberFormat="1" applyFont="1" applyBorder="1" applyAlignment="1">
      <alignment horizontal="center" vertical="center" wrapText="1"/>
    </xf>
    <xf numFmtId="2" fontId="15" fillId="0" borderId="24" xfId="0" applyNumberFormat="1" applyFont="1" applyBorder="1" applyAlignment="1">
      <alignment horizontal="center" vertical="center" wrapText="1"/>
    </xf>
    <xf numFmtId="2" fontId="15" fillId="0" borderId="8" xfId="0" applyNumberFormat="1" applyFont="1" applyBorder="1" applyAlignment="1">
      <alignment horizontal="center" vertical="center" wrapText="1"/>
    </xf>
    <xf numFmtId="2" fontId="15" fillId="0" borderId="16" xfId="0" applyNumberFormat="1" applyFont="1" applyBorder="1" applyAlignment="1">
      <alignment horizontal="center" vertical="center" wrapText="1"/>
    </xf>
    <xf numFmtId="0" fontId="11" fillId="0" borderId="27" xfId="5" applyFont="1" applyBorder="1" applyAlignment="1">
      <alignment horizontal="left" vertical="center" wrapText="1"/>
    </xf>
    <xf numFmtId="0" fontId="11" fillId="0" borderId="29" xfId="5" applyFont="1" applyBorder="1" applyAlignment="1">
      <alignment horizontal="left" vertical="center" wrapText="1"/>
    </xf>
    <xf numFmtId="0" fontId="11" fillId="0" borderId="25" xfId="5" applyFont="1" applyBorder="1" applyAlignment="1">
      <alignment horizontal="left" vertical="center" wrapText="1"/>
    </xf>
    <xf numFmtId="0" fontId="11" fillId="0" borderId="26" xfId="5" applyFont="1" applyBorder="1" applyAlignment="1">
      <alignment horizontal="left" vertical="center" wrapText="1"/>
    </xf>
    <xf numFmtId="1" fontId="13" fillId="0" borderId="20" xfId="5" applyNumberFormat="1" applyFont="1" applyBorder="1" applyAlignment="1">
      <alignment horizontal="center" vertical="center" wrapText="1" shrinkToFit="1"/>
    </xf>
    <xf numFmtId="1" fontId="13" fillId="0" borderId="21" xfId="5" applyNumberFormat="1" applyFont="1" applyBorder="1" applyAlignment="1">
      <alignment horizontal="center" vertical="center" wrapText="1" shrinkToFit="1"/>
    </xf>
    <xf numFmtId="9" fontId="13" fillId="0" borderId="20" xfId="5" applyNumberFormat="1" applyFont="1" applyBorder="1" applyAlignment="1">
      <alignment horizontal="center" vertical="center" wrapText="1" shrinkToFit="1"/>
    </xf>
    <xf numFmtId="9" fontId="13" fillId="0" borderId="21" xfId="5" applyNumberFormat="1" applyFont="1" applyBorder="1" applyAlignment="1">
      <alignment horizontal="center" vertical="center" wrapText="1" shrinkToFit="1"/>
    </xf>
    <xf numFmtId="0" fontId="11" fillId="0" borderId="28" xfId="5" applyFont="1" applyBorder="1" applyAlignment="1">
      <alignment horizontal="left" vertical="center" wrapText="1"/>
    </xf>
    <xf numFmtId="0" fontId="11" fillId="0" borderId="30" xfId="5" applyFont="1" applyBorder="1" applyAlignment="1">
      <alignment horizontal="left" vertical="center" wrapText="1"/>
    </xf>
    <xf numFmtId="0" fontId="11" fillId="0" borderId="14" xfId="5" applyFont="1" applyBorder="1" applyAlignment="1">
      <alignment horizontal="left" vertical="center" wrapText="1"/>
    </xf>
    <xf numFmtId="0" fontId="11" fillId="0" borderId="31" xfId="5" applyFont="1" applyBorder="1" applyAlignment="1">
      <alignment horizontal="left" vertical="center" wrapText="1"/>
    </xf>
    <xf numFmtId="1" fontId="13" fillId="0" borderId="8" xfId="5" applyNumberFormat="1" applyFont="1" applyBorder="1" applyAlignment="1">
      <alignment horizontal="center" vertical="center" wrapText="1" shrinkToFit="1"/>
    </xf>
    <xf numFmtId="1" fontId="13" fillId="0" borderId="16" xfId="5" applyNumberFormat="1" applyFont="1" applyBorder="1" applyAlignment="1">
      <alignment horizontal="center" vertical="center" wrapText="1" shrinkToFit="1"/>
    </xf>
    <xf numFmtId="9" fontId="13" fillId="0" borderId="8" xfId="5" applyNumberFormat="1" applyFont="1" applyBorder="1" applyAlignment="1">
      <alignment horizontal="center" vertical="center" wrapText="1" shrinkToFit="1"/>
    </xf>
    <xf numFmtId="9" fontId="13" fillId="0" borderId="16" xfId="5" applyNumberFormat="1" applyFont="1" applyBorder="1" applyAlignment="1">
      <alignment horizontal="center" vertical="center" wrapText="1" shrinkToFit="1"/>
    </xf>
    <xf numFmtId="2" fontId="6" fillId="0" borderId="20" xfId="0" applyNumberFormat="1" applyFont="1" applyBorder="1" applyAlignment="1">
      <alignment horizontal="center" vertical="center" wrapText="1"/>
    </xf>
    <xf numFmtId="2" fontId="6" fillId="0" borderId="8" xfId="0" applyNumberFormat="1" applyFont="1" applyBorder="1" applyAlignment="1">
      <alignment horizontal="center" vertical="center" wrapText="1"/>
    </xf>
    <xf numFmtId="2" fontId="6" fillId="0" borderId="16" xfId="0" applyNumberFormat="1" applyFont="1" applyBorder="1" applyAlignment="1">
      <alignment horizontal="center" vertical="center" wrapText="1"/>
    </xf>
    <xf numFmtId="0" fontId="6" fillId="0" borderId="25" xfId="0" applyFont="1" applyBorder="1" applyAlignment="1">
      <alignment horizontal="left" vertical="center" wrapText="1"/>
    </xf>
    <xf numFmtId="0" fontId="6" fillId="0" borderId="20" xfId="0" applyFont="1" applyBorder="1" applyAlignment="1">
      <alignment horizontal="center" vertical="center" wrapText="1"/>
    </xf>
    <xf numFmtId="2" fontId="6" fillId="0" borderId="20" xfId="0" applyNumberFormat="1" applyFont="1" applyBorder="1" applyAlignment="1">
      <alignment horizontal="left" vertical="center" wrapText="1"/>
    </xf>
    <xf numFmtId="2" fontId="6" fillId="0" borderId="16" xfId="0" applyNumberFormat="1" applyFont="1" applyBorder="1" applyAlignment="1">
      <alignment horizontal="left" vertical="center" wrapText="1"/>
    </xf>
    <xf numFmtId="2" fontId="6" fillId="0" borderId="8" xfId="0" applyNumberFormat="1" applyFont="1" applyBorder="1" applyAlignment="1">
      <alignment horizontal="left" vertical="center" wrapText="1"/>
    </xf>
    <xf numFmtId="9" fontId="6" fillId="0" borderId="20" xfId="0" applyNumberFormat="1" applyFont="1" applyBorder="1" applyAlignment="1">
      <alignment horizontal="center" vertical="center" wrapText="1"/>
    </xf>
    <xf numFmtId="2" fontId="4" fillId="0" borderId="21" xfId="0" applyNumberFormat="1" applyFont="1" applyBorder="1" applyAlignment="1">
      <alignment horizontal="left" vertical="center" wrapText="1"/>
    </xf>
    <xf numFmtId="0" fontId="6" fillId="0" borderId="27" xfId="0" applyFont="1" applyBorder="1" applyAlignment="1">
      <alignment horizontal="left" vertical="center" wrapText="1"/>
    </xf>
    <xf numFmtId="2" fontId="7" fillId="0" borderId="46" xfId="0" applyNumberFormat="1" applyFont="1" applyBorder="1" applyAlignment="1">
      <alignment horizontal="center" vertical="center" wrapText="1"/>
    </xf>
    <xf numFmtId="2" fontId="7" fillId="0" borderId="43" xfId="0" applyNumberFormat="1" applyFont="1" applyBorder="1" applyAlignment="1">
      <alignment horizontal="center" vertical="center" wrapText="1"/>
    </xf>
    <xf numFmtId="0" fontId="11" fillId="0" borderId="44" xfId="0" applyFont="1" applyBorder="1" applyAlignment="1">
      <alignment horizontal="left" vertical="center" wrapText="1"/>
    </xf>
    <xf numFmtId="0" fontId="11" fillId="0" borderId="30" xfId="0" applyFont="1" applyBorder="1" applyAlignment="1">
      <alignment horizontal="left" vertical="center" wrapText="1"/>
    </xf>
    <xf numFmtId="0" fontId="11" fillId="0" borderId="45" xfId="0" applyFont="1" applyBorder="1" applyAlignment="1">
      <alignment horizontal="left" vertical="center" wrapText="1"/>
    </xf>
    <xf numFmtId="0" fontId="11" fillId="0" borderId="31" xfId="0" applyFont="1" applyBorder="1" applyAlignment="1">
      <alignment horizontal="left" vertical="center" wrapText="1"/>
    </xf>
    <xf numFmtId="1" fontId="13" fillId="0" borderId="43" xfId="0" applyNumberFormat="1" applyFont="1" applyBorder="1" applyAlignment="1">
      <alignment horizontal="center" vertical="center" wrapText="1" shrinkToFit="1"/>
    </xf>
    <xf numFmtId="1" fontId="13" fillId="0" borderId="16" xfId="0" applyNumberFormat="1" applyFont="1" applyBorder="1" applyAlignment="1">
      <alignment horizontal="center" vertical="center" wrapText="1" shrinkToFit="1"/>
    </xf>
    <xf numFmtId="165" fontId="13" fillId="0" borderId="43" xfId="0" applyNumberFormat="1" applyFont="1" applyBorder="1" applyAlignment="1">
      <alignment horizontal="center" vertical="center" wrapText="1" shrinkToFit="1"/>
    </xf>
    <xf numFmtId="165" fontId="13" fillId="0" borderId="16" xfId="0" applyNumberFormat="1" applyFont="1" applyBorder="1" applyAlignment="1">
      <alignment horizontal="center" vertical="center" wrapText="1" shrinkToFit="1"/>
    </xf>
    <xf numFmtId="9" fontId="13" fillId="0" borderId="43" xfId="0" applyNumberFormat="1" applyFont="1" applyBorder="1" applyAlignment="1">
      <alignment horizontal="center" vertical="center" wrapText="1" shrinkToFit="1"/>
    </xf>
    <xf numFmtId="9" fontId="13" fillId="0" borderId="16" xfId="0" applyNumberFormat="1" applyFont="1" applyBorder="1" applyAlignment="1">
      <alignment horizontal="center" vertical="center" wrapText="1" shrinkToFit="1"/>
    </xf>
    <xf numFmtId="0" fontId="11" fillId="0" borderId="29" xfId="0" applyFont="1" applyBorder="1" applyAlignment="1">
      <alignment horizontal="left" vertical="center" wrapText="1"/>
    </xf>
    <xf numFmtId="0" fontId="11" fillId="0" borderId="26" xfId="0" applyFont="1" applyBorder="1" applyAlignment="1">
      <alignment horizontal="left" vertical="center" wrapText="1"/>
    </xf>
    <xf numFmtId="1" fontId="13" fillId="0" borderId="21" xfId="0" applyNumberFormat="1" applyFont="1" applyBorder="1" applyAlignment="1">
      <alignment horizontal="center" vertical="center" wrapText="1" shrinkToFit="1"/>
    </xf>
    <xf numFmtId="165" fontId="13" fillId="0" borderId="21" xfId="0" applyNumberFormat="1" applyFont="1" applyBorder="1" applyAlignment="1">
      <alignment horizontal="center" vertical="center" wrapText="1" shrinkToFit="1"/>
    </xf>
    <xf numFmtId="9" fontId="13" fillId="0" borderId="21" xfId="0" applyNumberFormat="1" applyFont="1" applyBorder="1" applyAlignment="1">
      <alignment horizontal="center" vertical="center" wrapText="1" shrinkToFit="1"/>
    </xf>
    <xf numFmtId="0" fontId="11" fillId="0" borderId="28" xfId="0" applyFont="1" applyBorder="1" applyAlignment="1">
      <alignment horizontal="left" vertical="center" wrapText="1"/>
    </xf>
    <xf numFmtId="0" fontId="11" fillId="0" borderId="14" xfId="0" applyFont="1" applyBorder="1" applyAlignment="1">
      <alignment horizontal="left" vertical="center" wrapText="1"/>
    </xf>
    <xf numFmtId="1" fontId="13" fillId="0" borderId="8" xfId="0" applyNumberFormat="1" applyFont="1" applyBorder="1" applyAlignment="1">
      <alignment horizontal="center" vertical="center" wrapText="1" shrinkToFit="1"/>
    </xf>
    <xf numFmtId="165" fontId="13" fillId="0" borderId="8" xfId="0" applyNumberFormat="1" applyFont="1" applyBorder="1" applyAlignment="1">
      <alignment horizontal="center" vertical="center" wrapText="1" shrinkToFit="1"/>
    </xf>
    <xf numFmtId="9" fontId="13" fillId="0" borderId="8" xfId="0" applyNumberFormat="1" applyFont="1" applyBorder="1" applyAlignment="1">
      <alignment horizontal="center" vertical="center" wrapText="1" shrinkToFit="1"/>
    </xf>
    <xf numFmtId="0" fontId="11" fillId="0" borderId="27" xfId="0" applyFont="1" applyBorder="1" applyAlignment="1">
      <alignment horizontal="left" vertical="center" wrapText="1"/>
    </xf>
    <xf numFmtId="0" fontId="11" fillId="0" borderId="25" xfId="0" applyFont="1" applyBorder="1" applyAlignment="1">
      <alignment horizontal="left" vertical="center" wrapText="1"/>
    </xf>
    <xf numFmtId="1" fontId="13" fillId="0" borderId="20" xfId="0" applyNumberFormat="1" applyFont="1" applyBorder="1" applyAlignment="1">
      <alignment horizontal="center" vertical="center" wrapText="1" shrinkToFit="1"/>
    </xf>
    <xf numFmtId="165" fontId="13" fillId="0" borderId="20" xfId="0" applyNumberFormat="1" applyFont="1" applyBorder="1" applyAlignment="1">
      <alignment horizontal="center" vertical="center" wrapText="1" shrinkToFit="1"/>
    </xf>
    <xf numFmtId="9" fontId="13" fillId="0" borderId="20" xfId="0" applyNumberFormat="1" applyFont="1" applyBorder="1" applyAlignment="1">
      <alignment horizontal="center" vertical="center" wrapText="1" shrinkToFit="1"/>
    </xf>
    <xf numFmtId="0" fontId="3" fillId="2" borderId="12" xfId="0" applyFont="1" applyFill="1" applyBorder="1" applyAlignment="1">
      <alignment vertical="center"/>
    </xf>
    <xf numFmtId="0" fontId="3" fillId="2" borderId="18" xfId="0" applyFont="1" applyFill="1" applyBorder="1" applyAlignment="1">
      <alignment vertical="center"/>
    </xf>
    <xf numFmtId="0" fontId="3" fillId="2" borderId="55" xfId="0" applyFont="1" applyFill="1" applyBorder="1" applyAlignment="1">
      <alignment vertical="center"/>
    </xf>
    <xf numFmtId="2" fontId="0" fillId="0" borderId="20" xfId="0" applyNumberFormat="1" applyBorder="1" applyAlignment="1">
      <alignment horizontal="center" vertical="center" wrapText="1"/>
    </xf>
    <xf numFmtId="2" fontId="0" fillId="0" borderId="8" xfId="0" applyNumberFormat="1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2" fontId="0" fillId="0" borderId="22" xfId="0" applyNumberFormat="1" applyBorder="1" applyAlignment="1">
      <alignment horizontal="center" vertical="center" wrapText="1"/>
    </xf>
    <xf numFmtId="2" fontId="0" fillId="0" borderId="23" xfId="0" applyNumberFormat="1" applyBorder="1" applyAlignment="1">
      <alignment horizontal="center" vertical="center" wrapText="1"/>
    </xf>
    <xf numFmtId="2" fontId="0" fillId="0" borderId="32" xfId="0" applyNumberFormat="1" applyBorder="1" applyAlignment="1">
      <alignment horizontal="center" vertical="center" wrapText="1"/>
    </xf>
    <xf numFmtId="0" fontId="0" fillId="0" borderId="25" xfId="0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0" fontId="3" fillId="2" borderId="48" xfId="0" applyFont="1" applyFill="1" applyBorder="1" applyAlignment="1">
      <alignment vertical="center"/>
    </xf>
    <xf numFmtId="0" fontId="16" fillId="4" borderId="38" xfId="0" applyFont="1" applyFill="1" applyBorder="1" applyAlignment="1">
      <alignment horizontal="left" vertical="center" wrapText="1"/>
    </xf>
    <xf numFmtId="0" fontId="11" fillId="0" borderId="44" xfId="5" applyFont="1" applyBorder="1" applyAlignment="1">
      <alignment horizontal="left" vertical="center" wrapText="1"/>
    </xf>
    <xf numFmtId="0" fontId="11" fillId="0" borderId="45" xfId="5" applyFont="1" applyBorder="1" applyAlignment="1">
      <alignment horizontal="left" vertical="center" wrapText="1"/>
    </xf>
    <xf numFmtId="1" fontId="13" fillId="0" borderId="43" xfId="5" applyNumberFormat="1" applyFont="1" applyBorder="1" applyAlignment="1">
      <alignment horizontal="center" vertical="center" wrapText="1" shrinkToFit="1"/>
    </xf>
    <xf numFmtId="9" fontId="13" fillId="0" borderId="43" xfId="5" applyNumberFormat="1" applyFont="1" applyBorder="1" applyAlignment="1">
      <alignment horizontal="center" vertical="center" wrapText="1" shrinkToFit="1"/>
    </xf>
    <xf numFmtId="165" fontId="13" fillId="0" borderId="20" xfId="5" applyNumberFormat="1" applyFont="1" applyBorder="1" applyAlignment="1">
      <alignment horizontal="center" vertical="center" wrapText="1" shrinkToFit="1"/>
    </xf>
    <xf numFmtId="165" fontId="13" fillId="0" borderId="8" xfId="5" applyNumberFormat="1" applyFont="1" applyBorder="1" applyAlignment="1">
      <alignment horizontal="center" vertical="center" wrapText="1" shrinkToFit="1"/>
    </xf>
    <xf numFmtId="165" fontId="13" fillId="0" borderId="16" xfId="5" applyNumberFormat="1" applyFont="1" applyBorder="1" applyAlignment="1">
      <alignment horizontal="center" vertical="center" wrapText="1" shrinkToFit="1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1103"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O25"/>
  <sheetViews>
    <sheetView zoomScale="86" zoomScaleNormal="93" workbookViewId="0">
      <selection activeCell="B25" sqref="B25"/>
    </sheetView>
  </sheetViews>
  <sheetFormatPr defaultRowHeight="13.2" x14ac:dyDescent="0.25"/>
  <cols>
    <col min="1" max="1" width="14.21875" style="11" customWidth="1"/>
    <col min="2" max="2" width="37.77734375" bestFit="1" customWidth="1"/>
    <col min="3" max="3" width="10" customWidth="1"/>
    <col min="4" max="4" width="11.44140625" customWidth="1"/>
    <col min="5" max="5" width="20.21875" customWidth="1"/>
    <col min="6" max="6" width="6.33203125" customWidth="1"/>
    <col min="7" max="7" width="38" customWidth="1"/>
    <col min="8" max="8" width="8.77734375" customWidth="1"/>
    <col min="9" max="9" width="9" customWidth="1"/>
    <col min="10" max="10" width="10.33203125" customWidth="1"/>
    <col min="11" max="11" width="24.5546875" customWidth="1"/>
    <col min="12" max="12" width="26.88671875" customWidth="1"/>
    <col min="13" max="13" width="24.88671875" customWidth="1"/>
    <col min="14" max="14" width="15" customWidth="1"/>
    <col min="15" max="15" width="23.21875" customWidth="1"/>
  </cols>
  <sheetData>
    <row r="1" spans="1:15" s="3" customFormat="1" ht="13.8" thickBot="1" x14ac:dyDescent="0.3">
      <c r="A1" s="17" t="s">
        <v>150</v>
      </c>
      <c r="B1" s="17" t="s">
        <v>151</v>
      </c>
      <c r="C1" s="17" t="s">
        <v>152</v>
      </c>
      <c r="D1" s="17" t="s">
        <v>153</v>
      </c>
      <c r="E1" s="182" t="s">
        <v>154</v>
      </c>
      <c r="F1" s="183"/>
      <c r="G1" s="184"/>
      <c r="H1" s="17" t="s">
        <v>155</v>
      </c>
      <c r="I1" s="17" t="s">
        <v>5</v>
      </c>
      <c r="J1" s="17" t="s">
        <v>6</v>
      </c>
      <c r="K1" s="17" t="s">
        <v>7</v>
      </c>
      <c r="L1" s="17" t="s">
        <v>8</v>
      </c>
      <c r="M1" s="17" t="s">
        <v>9</v>
      </c>
      <c r="N1" s="17" t="s">
        <v>202</v>
      </c>
      <c r="O1" s="17" t="s">
        <v>203</v>
      </c>
    </row>
    <row r="2" spans="1:15" ht="13.2" customHeight="1" thickTop="1" x14ac:dyDescent="0.25">
      <c r="A2" s="169" t="s">
        <v>188</v>
      </c>
      <c r="B2" s="172" t="s">
        <v>189</v>
      </c>
      <c r="C2" s="175">
        <v>10</v>
      </c>
      <c r="D2" s="178">
        <v>0.4</v>
      </c>
      <c r="E2" s="19" t="s">
        <v>19</v>
      </c>
      <c r="F2" s="18">
        <v>0.6</v>
      </c>
      <c r="G2" s="19" t="s">
        <v>190</v>
      </c>
      <c r="H2" s="20"/>
      <c r="I2" s="166">
        <f>IF(F2=1, H2, SUMPRODUCT(H2:H5, F2:F5))</f>
        <v>0</v>
      </c>
      <c r="J2" s="166">
        <f>SUMIF(H2:H5, "&lt;&gt;", F2:F5) / SUMIF(F2:F5, "&lt;&gt;")</f>
        <v>0</v>
      </c>
      <c r="K2" s="166" t="str">
        <f>IFERROR(I2/J2, "No grades yet")</f>
        <v>No grades yet</v>
      </c>
      <c r="L2" s="166">
        <f>IFERROR(IF(J2 = 1, "Completed module", IF(((70 - I2) / (1 - J2)) &gt; 100, "Unattainable", IF(((70 - I2) / (1 - J2)) &lt; 0, "Already attained", ((70 - I2) / (1 - J2))))), "-")</f>
        <v>70</v>
      </c>
      <c r="M2" s="166">
        <f>IFERROR(IF(J2 = 1, "Completed module", IF(((60 - I2) / (1 - J2)) &gt; 100, "Unattainable", IF(((60 - I2) / (1 - J2)) &lt; 0, "Already attained", ((60 - I2) / (1 - J2))))), "-")</f>
        <v>60</v>
      </c>
      <c r="N2" s="166">
        <f>IFERROR(IF(J2 = 1, "Completed module", IF(((50 - I2) / (1 - J2)) &gt; 100, "Unattainable", IF(((50 - I2) / (1 - J2)) &lt; 0, "Already attained", ((50 - I2) / (1 - J2))))), "-")</f>
        <v>50</v>
      </c>
      <c r="O2" s="189">
        <f>IFERROR(IF(J2 = 1, "Completed module", IF(((40 - I2) / (1 - J2)) &gt; 100, "Unattainable", IF(((40 - I2) / (1 - J2)) &lt; 0, "Already attained", ((40 - I2) / (1 - J2))))), "-")</f>
        <v>40</v>
      </c>
    </row>
    <row r="3" spans="1:15" x14ac:dyDescent="0.25">
      <c r="A3" s="170"/>
      <c r="B3" s="173"/>
      <c r="C3" s="176"/>
      <c r="D3" s="179"/>
      <c r="E3" s="13" t="s">
        <v>163</v>
      </c>
      <c r="F3" s="12">
        <v>0.3</v>
      </c>
      <c r="G3" s="13" t="s">
        <v>191</v>
      </c>
      <c r="H3" s="14"/>
      <c r="I3" s="167"/>
      <c r="J3" s="167"/>
      <c r="K3" s="167"/>
      <c r="L3" s="167"/>
      <c r="M3" s="167"/>
      <c r="N3" s="167"/>
      <c r="O3" s="191"/>
    </row>
    <row r="4" spans="1:15" x14ac:dyDescent="0.25">
      <c r="A4" s="170"/>
      <c r="B4" s="173"/>
      <c r="C4" s="176"/>
      <c r="D4" s="179"/>
      <c r="E4" s="13" t="s">
        <v>22</v>
      </c>
      <c r="F4" s="12">
        <v>0</v>
      </c>
      <c r="G4" s="13" t="s">
        <v>192</v>
      </c>
      <c r="H4" s="15"/>
      <c r="I4" s="167"/>
      <c r="J4" s="167"/>
      <c r="K4" s="167"/>
      <c r="L4" s="167"/>
      <c r="M4" s="167"/>
      <c r="N4" s="167"/>
      <c r="O4" s="191"/>
    </row>
    <row r="5" spans="1:15" ht="13.8" thickBot="1" x14ac:dyDescent="0.3">
      <c r="A5" s="171"/>
      <c r="B5" s="174"/>
      <c r="C5" s="177"/>
      <c r="D5" s="180"/>
      <c r="E5" s="22" t="s">
        <v>22</v>
      </c>
      <c r="F5" s="21">
        <v>0.1</v>
      </c>
      <c r="G5" s="22" t="s">
        <v>193</v>
      </c>
      <c r="H5" s="23"/>
      <c r="I5" s="168"/>
      <c r="J5" s="168"/>
      <c r="K5" s="168"/>
      <c r="L5" s="168"/>
      <c r="M5" s="168"/>
      <c r="N5" s="168"/>
      <c r="O5" s="190"/>
    </row>
    <row r="6" spans="1:15" ht="13.8" thickTop="1" x14ac:dyDescent="0.25">
      <c r="A6" s="169" t="s">
        <v>164</v>
      </c>
      <c r="B6" s="172" t="s">
        <v>165</v>
      </c>
      <c r="C6" s="175">
        <v>5</v>
      </c>
      <c r="D6" s="178">
        <v>0.4</v>
      </c>
      <c r="E6" s="19" t="s">
        <v>166</v>
      </c>
      <c r="F6" s="18">
        <v>0.4</v>
      </c>
      <c r="G6" s="19" t="s">
        <v>166</v>
      </c>
      <c r="H6" s="20"/>
      <c r="I6" s="166">
        <f>IF(F6=1, H6, SUMPRODUCT(H6:H9, F6:F9))</f>
        <v>0</v>
      </c>
      <c r="J6" s="166">
        <f>SUMIF(H6:H9, "&lt;&gt;", F6:F9) / SUMIF(F6:F9, "&lt;&gt;")</f>
        <v>0</v>
      </c>
      <c r="K6" s="166" t="str">
        <f>IFERROR(I6/J6, "No grades yet")</f>
        <v>No grades yet</v>
      </c>
      <c r="L6" s="166">
        <f>IFERROR(IF(J6 = 1, "Completed module", IF(((70 - I6) / (1 - J6)) &gt; 100, "Unattainable", IF(((70 - I6) / (1 - J6)) &lt; 0, "Already attained", ((70 - I6) / (1 - J6))))), "-")</f>
        <v>70</v>
      </c>
      <c r="M6" s="166">
        <f>IFERROR(IF(J6 = 1, "Completed module", IF(((60 - I6) / (1 - J6)) &gt; 100, "Unattainable", IF(((60 - I6) / (1 - J6)) &lt; 0, "Already attained", ((60 - I6) / (1 - J6))))), "-")</f>
        <v>60</v>
      </c>
      <c r="N6" s="166">
        <f>IFERROR(IF(J6 = 1, "Completed module", IF(((50 - I6) / (1 - J6)) &gt; 100, "Unattainable", IF(((50 - I6) / (1 - J6)) &lt; 0, "Already attained", ((50 - I6) / (1 - J6))))), "-")</f>
        <v>50</v>
      </c>
      <c r="O6" s="189">
        <f>IFERROR(IF(J6 = 1, "Completed module", IF(((40 - I6) / (1 - J6)) &gt; 100, "Unattainable", IF(((40 - I6) / (1 - J6)) &lt; 0, "Already attained", ((40 - I6) / (1 - J6))))), "-")</f>
        <v>40</v>
      </c>
    </row>
    <row r="7" spans="1:15" x14ac:dyDescent="0.25">
      <c r="A7" s="170"/>
      <c r="B7" s="173"/>
      <c r="C7" s="176"/>
      <c r="D7" s="179"/>
      <c r="E7" s="13" t="s">
        <v>11</v>
      </c>
      <c r="F7" s="12">
        <v>0.6</v>
      </c>
      <c r="G7" s="13" t="s">
        <v>167</v>
      </c>
      <c r="H7" s="14"/>
      <c r="I7" s="167"/>
      <c r="J7" s="167"/>
      <c r="K7" s="167"/>
      <c r="L7" s="167"/>
      <c r="M7" s="167"/>
      <c r="N7" s="167"/>
      <c r="O7" s="191"/>
    </row>
    <row r="8" spans="1:15" x14ac:dyDescent="0.25">
      <c r="A8" s="170"/>
      <c r="B8" s="173"/>
      <c r="C8" s="176"/>
      <c r="D8" s="179"/>
      <c r="E8" s="13" t="s">
        <v>13</v>
      </c>
      <c r="F8" s="12">
        <v>0</v>
      </c>
      <c r="G8" s="13" t="s">
        <v>168</v>
      </c>
      <c r="H8" s="14"/>
      <c r="I8" s="167"/>
      <c r="J8" s="167"/>
      <c r="K8" s="167"/>
      <c r="L8" s="167"/>
      <c r="M8" s="167"/>
      <c r="N8" s="167"/>
      <c r="O8" s="191"/>
    </row>
    <row r="9" spans="1:15" ht="13.8" thickBot="1" x14ac:dyDescent="0.3">
      <c r="A9" s="171"/>
      <c r="B9" s="174"/>
      <c r="C9" s="177"/>
      <c r="D9" s="180"/>
      <c r="E9" s="22" t="s">
        <v>166</v>
      </c>
      <c r="F9" s="21">
        <v>0</v>
      </c>
      <c r="G9" s="22" t="s">
        <v>169</v>
      </c>
      <c r="H9" s="16"/>
      <c r="I9" s="168"/>
      <c r="J9" s="168"/>
      <c r="K9" s="168"/>
      <c r="L9" s="168"/>
      <c r="M9" s="168"/>
      <c r="N9" s="168"/>
      <c r="O9" s="190"/>
    </row>
    <row r="10" spans="1:15" ht="13.8" thickTop="1" x14ac:dyDescent="0.25">
      <c r="A10" s="169" t="s">
        <v>170</v>
      </c>
      <c r="B10" s="172" t="s">
        <v>171</v>
      </c>
      <c r="C10" s="175">
        <v>15</v>
      </c>
      <c r="D10" s="178">
        <v>0.4</v>
      </c>
      <c r="E10" s="19" t="s">
        <v>22</v>
      </c>
      <c r="F10" s="18">
        <v>0.1</v>
      </c>
      <c r="G10" s="19" t="s">
        <v>172</v>
      </c>
      <c r="H10" s="20"/>
      <c r="I10" s="166">
        <f>IF(F10=1, H10, SUMPRODUCT(H10:H13, F10:F13))</f>
        <v>0</v>
      </c>
      <c r="J10" s="166">
        <f>SUMIF(H10:H13, "&lt;&gt;", F10:F13) / SUMIF(F10:F13, "&lt;&gt;")</f>
        <v>0</v>
      </c>
      <c r="K10" s="166" t="str">
        <f>IFERROR(I10/J10, "No grades yet")</f>
        <v>No grades yet</v>
      </c>
      <c r="L10" s="166">
        <f>IFERROR(IF(J10 = 1, "Completed module", IF(((70 - I10) / (1 - J10)) &gt; 100, "Unattainable", IF(((70 - I10) / (1 - J10)) &lt; 0, "Already attained", ((70 - I10) / (1 - J10))))), "-")</f>
        <v>70</v>
      </c>
      <c r="M10" s="166">
        <f>IFERROR(IF(J10 = 1, "Completed module", IF(((60 - I10) / (1 - J10)) &gt; 100, "Unattainable", IF(((60 - I10) / (1 - J10)) &lt; 0, "Already attained", ((60 - I10) / (1 - J10))))), "-")</f>
        <v>60</v>
      </c>
      <c r="N10" s="166">
        <f>IFERROR(IF(J10 = 1, "Completed module", IF(((50 - I10) / (1 - J10)) &gt; 100, "Unattainable", IF(((50 - I10) / (1 - J10)) &lt; 0, "Already attained", ((50 - I10) / (1 - J10))))), "-")</f>
        <v>50</v>
      </c>
      <c r="O10" s="189">
        <f>IFERROR(IF(J10 = 1, "Completed module", IF(((40 - I10) / (1 - J10)) &gt; 100, "Unattainable", IF(((40 - I10) / (1 - J10)) &lt; 0, "Already attained", ((40 - I10) / (1 - J10))))), "-")</f>
        <v>40</v>
      </c>
    </row>
    <row r="11" spans="1:15" x14ac:dyDescent="0.25">
      <c r="A11" s="170"/>
      <c r="B11" s="173"/>
      <c r="C11" s="176"/>
      <c r="D11" s="179"/>
      <c r="E11" s="13" t="s">
        <v>22</v>
      </c>
      <c r="F11" s="12">
        <v>0.1</v>
      </c>
      <c r="G11" s="13" t="s">
        <v>173</v>
      </c>
      <c r="H11" s="14"/>
      <c r="I11" s="167"/>
      <c r="J11" s="167"/>
      <c r="K11" s="167"/>
      <c r="L11" s="167"/>
      <c r="M11" s="167"/>
      <c r="N11" s="167"/>
      <c r="O11" s="191"/>
    </row>
    <row r="12" spans="1:15" x14ac:dyDescent="0.25">
      <c r="A12" s="170"/>
      <c r="B12" s="173"/>
      <c r="C12" s="176"/>
      <c r="D12" s="179"/>
      <c r="E12" s="13" t="s">
        <v>19</v>
      </c>
      <c r="F12" s="12">
        <v>0.5</v>
      </c>
      <c r="G12" s="13" t="s">
        <v>174</v>
      </c>
      <c r="H12" s="14"/>
      <c r="I12" s="167"/>
      <c r="J12" s="167"/>
      <c r="K12" s="167"/>
      <c r="L12" s="167"/>
      <c r="M12" s="167"/>
      <c r="N12" s="167"/>
      <c r="O12" s="191"/>
    </row>
    <row r="13" spans="1:15" ht="13.8" thickBot="1" x14ac:dyDescent="0.3">
      <c r="A13" s="171"/>
      <c r="B13" s="174"/>
      <c r="C13" s="177"/>
      <c r="D13" s="180"/>
      <c r="E13" s="22" t="s">
        <v>19</v>
      </c>
      <c r="F13" s="21">
        <v>0.3</v>
      </c>
      <c r="G13" s="22" t="s">
        <v>175</v>
      </c>
      <c r="H13" s="16"/>
      <c r="I13" s="168"/>
      <c r="J13" s="168"/>
      <c r="K13" s="168"/>
      <c r="L13" s="168"/>
      <c r="M13" s="168"/>
      <c r="N13" s="168"/>
      <c r="O13" s="190"/>
    </row>
    <row r="14" spans="1:15" ht="13.8" thickTop="1" x14ac:dyDescent="0.25">
      <c r="A14" s="169" t="s">
        <v>176</v>
      </c>
      <c r="B14" s="172" t="s">
        <v>177</v>
      </c>
      <c r="C14" s="175">
        <v>15</v>
      </c>
      <c r="D14" s="178">
        <v>0.4</v>
      </c>
      <c r="E14" s="19" t="s">
        <v>19</v>
      </c>
      <c r="F14" s="18">
        <v>0.6</v>
      </c>
      <c r="G14" s="19" t="s">
        <v>178</v>
      </c>
      <c r="H14" s="20"/>
      <c r="I14" s="166">
        <f>IF(F14=1, H14, SUMPRODUCT(H14:H15, F14:F15))</f>
        <v>0</v>
      </c>
      <c r="J14" s="166">
        <f>SUMIF(H14:H15, "&lt;&gt;", F14:F15) / SUMIF(F14:F15, "&lt;&gt;")</f>
        <v>0</v>
      </c>
      <c r="K14" s="166" t="str">
        <f>IFERROR(I14/J14, "No grades yet")</f>
        <v>No grades yet</v>
      </c>
      <c r="L14" s="166">
        <f>IFERROR(IF(J14 = 1, "Completed module", IF(((70 - I14) / (1 - J14)) &gt; 100, "Unattainable", IF(((70 - I14) / (1 - J14)) &lt; 0, "Already attained", ((70 - I14) / (1 - J14))))), "-")</f>
        <v>70</v>
      </c>
      <c r="M14" s="166">
        <f>IFERROR(IF(J14 = 1, "Completed module", IF(((60 - I14) / (1 - J14)) &gt; 100, "Unattainable", IF(((60 - I14) / (1 - J14)) &lt; 0, "Already attained", ((60 - I14) / (1 - J14))))), "-")</f>
        <v>60</v>
      </c>
      <c r="N14" s="166">
        <f>IFERROR(IF(J14 = 1, "Completed module", IF(((50 - I14) / (1 - J14)) &gt; 100, "Unattainable", IF(((50 - I14) / (1 - J14)) &lt; 0, "Already attained", ((50 - I14) / (1 - J14))))), "-")</f>
        <v>50</v>
      </c>
      <c r="O14" s="189">
        <f>IFERROR(IF(J14 = 1, "Completed module", IF(((40 - I14) / (1 - J14)) &gt; 100, "Unattainable", IF(((40 - I14) / (1 - J14)) &lt; 0, "Already attained", ((40 - I14) / (1 - J14))))), "-")</f>
        <v>40</v>
      </c>
    </row>
    <row r="15" spans="1:15" ht="13.8" thickBot="1" x14ac:dyDescent="0.3">
      <c r="A15" s="171"/>
      <c r="B15" s="174"/>
      <c r="C15" s="177"/>
      <c r="D15" s="180"/>
      <c r="E15" s="22" t="s">
        <v>179</v>
      </c>
      <c r="F15" s="21">
        <v>0.4</v>
      </c>
      <c r="G15" s="22" t="s">
        <v>180</v>
      </c>
      <c r="H15" s="16"/>
      <c r="I15" s="168"/>
      <c r="J15" s="168"/>
      <c r="K15" s="168"/>
      <c r="L15" s="168"/>
      <c r="M15" s="168"/>
      <c r="N15" s="168"/>
      <c r="O15" s="190"/>
    </row>
    <row r="16" spans="1:15" ht="13.8" thickTop="1" x14ac:dyDescent="0.25">
      <c r="A16" s="169" t="s">
        <v>181</v>
      </c>
      <c r="B16" s="172" t="s">
        <v>182</v>
      </c>
      <c r="C16" s="175">
        <v>15</v>
      </c>
      <c r="D16" s="178">
        <v>0.4</v>
      </c>
      <c r="E16" s="19" t="s">
        <v>19</v>
      </c>
      <c r="F16" s="18">
        <v>0.2</v>
      </c>
      <c r="G16" s="19" t="s">
        <v>183</v>
      </c>
      <c r="H16" s="20"/>
      <c r="I16" s="166">
        <f>IF(F16=1, H16, SUMPRODUCT(H16:H20, F16:F20))</f>
        <v>0</v>
      </c>
      <c r="J16" s="166">
        <f>SUMIF(H16:H20, "&lt;&gt;", F16:F20) / SUMIF(F16:F20, "&lt;&gt;")</f>
        <v>0</v>
      </c>
      <c r="K16" s="166" t="str">
        <f>IFERROR(I16/J16, "No grades yet")</f>
        <v>No grades yet</v>
      </c>
      <c r="L16" s="166">
        <f>IFERROR(IF(J16 = 1, "Completed module", IF(((70 - I16) / (1 - J16)) &gt; 100, "Unattainable", IF(((70 - I16) / (1 - J16)) &lt; 0, "Already attained", ((70 - I16) / (1 - J16))))), "-")</f>
        <v>70</v>
      </c>
      <c r="M16" s="166">
        <f>IFERROR(IF(J16 = 1, "Completed module", IF(((60 - I16) / (1 - J16)) &gt; 100, "Unattainable", IF(((60 - I16) / (1 - J16)) &lt; 0, "Already attained", ((60 - I16) / (1 - J16))))), "-")</f>
        <v>60</v>
      </c>
      <c r="N16" s="166">
        <f>IFERROR(IF(J16 = 1, "Completed module", IF(((50 - I16) / (1 - J16)) &gt; 100, "Unattainable", IF(((50 - I16) / (1 - J16)) &lt; 0, "Already attained", ((50 - I16) / (1 - J16))))), "-")</f>
        <v>50</v>
      </c>
      <c r="O16" s="189">
        <f>IFERROR(IF(J16 = 1, "Completed module", IF(((40 - I16) / (1 - J16)) &gt; 100, "Unattainable", IF(((40 - I16) / (1 - J16)) &lt; 0, "Already attained", ((40 - I16) / (1 - J16))))), "-")</f>
        <v>40</v>
      </c>
    </row>
    <row r="17" spans="1:15" x14ac:dyDescent="0.25">
      <c r="A17" s="170"/>
      <c r="B17" s="173"/>
      <c r="C17" s="176"/>
      <c r="D17" s="179"/>
      <c r="E17" s="13" t="s">
        <v>19</v>
      </c>
      <c r="F17" s="12">
        <v>0.5</v>
      </c>
      <c r="G17" s="13" t="s">
        <v>184</v>
      </c>
      <c r="H17" s="14"/>
      <c r="I17" s="167"/>
      <c r="J17" s="167"/>
      <c r="K17" s="167"/>
      <c r="L17" s="167"/>
      <c r="M17" s="167"/>
      <c r="N17" s="167"/>
      <c r="O17" s="191"/>
    </row>
    <row r="18" spans="1:15" x14ac:dyDescent="0.25">
      <c r="A18" s="170"/>
      <c r="B18" s="173"/>
      <c r="C18" s="176"/>
      <c r="D18" s="179"/>
      <c r="E18" s="13" t="s">
        <v>31</v>
      </c>
      <c r="F18" s="12">
        <v>0.1</v>
      </c>
      <c r="G18" s="13" t="s">
        <v>185</v>
      </c>
      <c r="H18" s="14"/>
      <c r="I18" s="167"/>
      <c r="J18" s="167"/>
      <c r="K18" s="167"/>
      <c r="L18" s="167"/>
      <c r="M18" s="167"/>
      <c r="N18" s="167"/>
      <c r="O18" s="191"/>
    </row>
    <row r="19" spans="1:15" x14ac:dyDescent="0.25">
      <c r="A19" s="170"/>
      <c r="B19" s="173"/>
      <c r="C19" s="176"/>
      <c r="D19" s="179"/>
      <c r="E19" s="13" t="s">
        <v>31</v>
      </c>
      <c r="F19" s="12">
        <v>0.1</v>
      </c>
      <c r="G19" s="13" t="s">
        <v>186</v>
      </c>
      <c r="H19" s="14"/>
      <c r="I19" s="167"/>
      <c r="J19" s="167"/>
      <c r="K19" s="167"/>
      <c r="L19" s="167"/>
      <c r="M19" s="167"/>
      <c r="N19" s="167"/>
      <c r="O19" s="191"/>
    </row>
    <row r="20" spans="1:15" ht="13.8" thickBot="1" x14ac:dyDescent="0.3">
      <c r="A20" s="185"/>
      <c r="B20" s="186"/>
      <c r="C20" s="187"/>
      <c r="D20" s="188"/>
      <c r="E20" s="25" t="s">
        <v>31</v>
      </c>
      <c r="F20" s="24">
        <v>0.1</v>
      </c>
      <c r="G20" s="25" t="s">
        <v>187</v>
      </c>
      <c r="H20" s="26"/>
      <c r="I20" s="181"/>
      <c r="J20" s="181"/>
      <c r="K20" s="181"/>
      <c r="L20" s="181"/>
      <c r="M20" s="181"/>
      <c r="N20" s="181"/>
      <c r="O20" s="192"/>
    </row>
    <row r="21" spans="1:15" ht="13.8" thickTop="1" x14ac:dyDescent="0.25"/>
    <row r="25" spans="1:15" x14ac:dyDescent="0.25">
      <c r="L25" s="10"/>
    </row>
  </sheetData>
  <mergeCells count="56">
    <mergeCell ref="N14:N15"/>
    <mergeCell ref="O14:O15"/>
    <mergeCell ref="N16:N20"/>
    <mergeCell ref="O16:O20"/>
    <mergeCell ref="N2:N5"/>
    <mergeCell ref="O2:O5"/>
    <mergeCell ref="N6:N9"/>
    <mergeCell ref="O6:O9"/>
    <mergeCell ref="N10:N13"/>
    <mergeCell ref="O10:O13"/>
    <mergeCell ref="M6:M9"/>
    <mergeCell ref="I10:I13"/>
    <mergeCell ref="J10:J13"/>
    <mergeCell ref="K10:K13"/>
    <mergeCell ref="L10:L13"/>
    <mergeCell ref="M10:M13"/>
    <mergeCell ref="I6:I9"/>
    <mergeCell ref="J6:J9"/>
    <mergeCell ref="K6:K9"/>
    <mergeCell ref="L6:L9"/>
    <mergeCell ref="I16:I20"/>
    <mergeCell ref="J16:J20"/>
    <mergeCell ref="K16:K20"/>
    <mergeCell ref="L16:L20"/>
    <mergeCell ref="I14:I15"/>
    <mergeCell ref="M16:M20"/>
    <mergeCell ref="E1:G1"/>
    <mergeCell ref="I2:I5"/>
    <mergeCell ref="A16:A20"/>
    <mergeCell ref="B16:B20"/>
    <mergeCell ref="C16:C20"/>
    <mergeCell ref="D16:D20"/>
    <mergeCell ref="K14:K15"/>
    <mergeCell ref="L14:L15"/>
    <mergeCell ref="M14:M15"/>
    <mergeCell ref="A14:A15"/>
    <mergeCell ref="B14:B15"/>
    <mergeCell ref="C14:C15"/>
    <mergeCell ref="D14:D15"/>
    <mergeCell ref="J14:J15"/>
    <mergeCell ref="A10:A13"/>
    <mergeCell ref="B10:B13"/>
    <mergeCell ref="C10:C13"/>
    <mergeCell ref="D10:D13"/>
    <mergeCell ref="A6:A9"/>
    <mergeCell ref="B6:B9"/>
    <mergeCell ref="C6:C9"/>
    <mergeCell ref="D6:D9"/>
    <mergeCell ref="K2:K5"/>
    <mergeCell ref="L2:L5"/>
    <mergeCell ref="M2:M5"/>
    <mergeCell ref="A2:A5"/>
    <mergeCell ref="B2:B5"/>
    <mergeCell ref="C2:C5"/>
    <mergeCell ref="D2:D5"/>
    <mergeCell ref="J2:J5"/>
  </mergeCells>
  <conditionalFormatting sqref="H2:H20 K2:K20">
    <cfRule type="expression" dxfId="1102" priority="1" stopIfTrue="1">
      <formula>ISBLANK(H2)</formula>
    </cfRule>
    <cfRule type="cellIs" dxfId="1101" priority="2" stopIfTrue="1" operator="equal">
      <formula>"No grades yet"</formula>
    </cfRule>
    <cfRule type="cellIs" dxfId="1100" priority="3" stopIfTrue="1" operator="greaterThanOrEqual">
      <formula>70</formula>
    </cfRule>
    <cfRule type="cellIs" dxfId="1099" priority="4" stopIfTrue="1" operator="between">
      <formula>60</formula>
      <formula>69.999</formula>
    </cfRule>
    <cfRule type="cellIs" dxfId="1098" priority="5" stopIfTrue="1" operator="between">
      <formula>50</formula>
      <formula>59.999</formula>
    </cfRule>
    <cfRule type="cellIs" dxfId="1097" priority="6" stopIfTrue="1" operator="between">
      <formula>40</formula>
      <formula>49.999</formula>
    </cfRule>
    <cfRule type="cellIs" dxfId="1096" priority="7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O26"/>
  <sheetViews>
    <sheetView zoomScale="79" workbookViewId="0">
      <selection activeCell="F16" sqref="F16"/>
    </sheetView>
  </sheetViews>
  <sheetFormatPr defaultColWidth="12.6640625" defaultRowHeight="15.75" customHeight="1" x14ac:dyDescent="0.25"/>
  <cols>
    <col min="2" max="2" width="19.88671875" customWidth="1"/>
    <col min="6" max="6" width="10.21875" customWidth="1"/>
    <col min="7" max="7" width="34.77734375" customWidth="1"/>
    <col min="8" max="8" width="9" customWidth="1"/>
    <col min="9" max="9" width="8.6640625" hidden="1" customWidth="1"/>
    <col min="10" max="10" width="8.33203125" hidden="1" customWidth="1"/>
    <col min="11" max="11" width="15.6640625" customWidth="1"/>
    <col min="12" max="12" width="23.77734375" customWidth="1"/>
    <col min="13" max="13" width="22" customWidth="1"/>
    <col min="14" max="14" width="21.33203125" customWidth="1"/>
    <col min="15" max="15" width="21.88671875" customWidth="1"/>
  </cols>
  <sheetData>
    <row r="1" spans="1:15" ht="13.8" thickBot="1" x14ac:dyDescent="0.3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8</v>
      </c>
      <c r="M1" s="7" t="s">
        <v>9</v>
      </c>
      <c r="N1" s="17" t="s">
        <v>202</v>
      </c>
      <c r="O1" s="17" t="s">
        <v>203</v>
      </c>
    </row>
    <row r="2" spans="1:15" ht="13.8" thickTop="1" x14ac:dyDescent="0.25">
      <c r="A2" s="211" t="s">
        <v>139</v>
      </c>
      <c r="B2" s="196" t="s">
        <v>10</v>
      </c>
      <c r="C2" s="199">
        <v>10</v>
      </c>
      <c r="D2" s="205">
        <v>0.4</v>
      </c>
      <c r="E2" s="49" t="s">
        <v>11</v>
      </c>
      <c r="F2" s="48">
        <v>0.25</v>
      </c>
      <c r="G2" s="49" t="s">
        <v>12</v>
      </c>
      <c r="H2" s="50"/>
      <c r="I2" s="202">
        <f>IF(F2=1, H2, SUMPRODUCT(H2:H5, F2:F5))</f>
        <v>0</v>
      </c>
      <c r="J2" s="202">
        <f>SUMIF(H2:H5, "&lt;&gt;", F2:F5) / SUMIF(F2:F5, "&lt;&gt;")</f>
        <v>0</v>
      </c>
      <c r="K2" s="193" t="str">
        <f>IFERROR(I2/J2, "No grades yet")</f>
        <v>No grades yet</v>
      </c>
      <c r="L2" s="193">
        <f>IFERROR(IF(J2 = 1, "Completed module", IF(((70 - I2) / (1 - J2)) &gt; 100, "Unattainable", IF(((70 - I2) / (1 - J2)) &lt; 0, "Already attained", ((70 - I2) / (1 - J2))))), "-")</f>
        <v>70</v>
      </c>
      <c r="M2" s="193">
        <f>IFERROR(IF(J2 = 1, "Completed module", IF(((60 - I2) / (1 - J2)) &gt; 100, "Unattainable", IF(((60 - I2) / (1 - J2)) &lt; 0, "Already attained", ((60 - I2) / (1 - J2))))), "-")</f>
        <v>60</v>
      </c>
      <c r="N2" s="166">
        <f>IFERROR(IF(J2 = 1, "Completed module", IF(((50 - I2) / (1 - J2)) &gt; 100, "Unattainable", IF(((50 - I2) / (1 - J2)) &lt; 0, "Already attained", ((50 - I2) / (1 - J2))))), "-")</f>
        <v>50</v>
      </c>
      <c r="O2" s="189">
        <f>IFERROR(IF(J2 = 1, "Completed module", IF(((40 - I2) / (1 - J2)) &gt; 100, "Unattainable", IF(((40 - I2) / (1 - J2)) &lt; 0, "Already attained", ((40 - I2) / (1 - J2))))), "-")</f>
        <v>40</v>
      </c>
    </row>
    <row r="3" spans="1:15" ht="13.2" x14ac:dyDescent="0.25">
      <c r="A3" s="212"/>
      <c r="B3" s="197"/>
      <c r="C3" s="200"/>
      <c r="D3" s="200"/>
      <c r="E3" s="45" t="s">
        <v>13</v>
      </c>
      <c r="F3" s="44">
        <v>0.25</v>
      </c>
      <c r="G3" s="45" t="s">
        <v>14</v>
      </c>
      <c r="H3" s="46"/>
      <c r="I3" s="203"/>
      <c r="J3" s="203"/>
      <c r="K3" s="194"/>
      <c r="L3" s="194"/>
      <c r="M3" s="194"/>
      <c r="N3" s="167"/>
      <c r="O3" s="191"/>
    </row>
    <row r="4" spans="1:15" ht="13.2" x14ac:dyDescent="0.25">
      <c r="A4" s="212"/>
      <c r="B4" s="197"/>
      <c r="C4" s="200"/>
      <c r="D4" s="200"/>
      <c r="E4" s="45" t="s">
        <v>15</v>
      </c>
      <c r="F4" s="44">
        <v>0.25</v>
      </c>
      <c r="G4" s="45" t="s">
        <v>16</v>
      </c>
      <c r="H4" s="46"/>
      <c r="I4" s="203"/>
      <c r="J4" s="203"/>
      <c r="K4" s="194"/>
      <c r="L4" s="194"/>
      <c r="M4" s="194"/>
      <c r="N4" s="167"/>
      <c r="O4" s="191"/>
    </row>
    <row r="5" spans="1:15" ht="13.8" thickBot="1" x14ac:dyDescent="0.3">
      <c r="A5" s="213"/>
      <c r="B5" s="198"/>
      <c r="C5" s="201"/>
      <c r="D5" s="201"/>
      <c r="E5" s="54" t="s">
        <v>11</v>
      </c>
      <c r="F5" s="55">
        <v>0.25</v>
      </c>
      <c r="G5" s="54" t="s">
        <v>17</v>
      </c>
      <c r="H5" s="56"/>
      <c r="I5" s="204"/>
      <c r="J5" s="204"/>
      <c r="K5" s="195"/>
      <c r="L5" s="195"/>
      <c r="M5" s="195"/>
      <c r="N5" s="168"/>
      <c r="O5" s="190"/>
    </row>
    <row r="6" spans="1:15" ht="13.8" thickTop="1" x14ac:dyDescent="0.25">
      <c r="A6" s="211" t="s">
        <v>140</v>
      </c>
      <c r="B6" s="196" t="s">
        <v>18</v>
      </c>
      <c r="C6" s="199">
        <v>15</v>
      </c>
      <c r="D6" s="205">
        <v>0.4</v>
      </c>
      <c r="E6" s="49" t="s">
        <v>19</v>
      </c>
      <c r="F6" s="48">
        <v>0.35</v>
      </c>
      <c r="G6" s="49" t="s">
        <v>20</v>
      </c>
      <c r="H6" s="50"/>
      <c r="I6" s="202">
        <f>IF(F6=1, H6, SUMPRODUCT(H6:H11, F6:F11))</f>
        <v>15.986500000000003</v>
      </c>
      <c r="J6" s="202">
        <f>SUMIF(H6:H11, "&lt;&gt;", F6:F11) / SUMIF(F6:F11, "&lt;&gt;")</f>
        <v>0.25</v>
      </c>
      <c r="K6" s="193">
        <f>IFERROR(I6/J6, "No grades yet")</f>
        <v>63.946000000000012</v>
      </c>
      <c r="L6" s="193">
        <f>IFERROR(IF(J6 = 1, "Completed module", IF(((70 - I6) / (1 - J6)) &gt; 100, "Unattainable", IF(((70 - I6) / (1 - J6)) &lt; 0, "Already attained", ((70 - I6) / (1 - J6))))), "-")</f>
        <v>72.017999999999986</v>
      </c>
      <c r="M6" s="193">
        <f>IFERROR(IF(J6 = 1, "Completed module", IF(((60 - I6) / (1 - J6)) &gt; 100, "Unattainable", IF(((60 - I6) / (1 - J6)) &lt; 0, "Already attained", ((60 - I6) / (1 - J6))))), "-")</f>
        <v>58.684666666666658</v>
      </c>
      <c r="N6" s="166">
        <f>IFERROR(IF(J6 = 1, "Completed module", IF(((50 - I6) / (1 - J6)) &gt; 100, "Unattainable", IF(((50 - I6) / (1 - J6)) &lt; 0, "Already attained", ((50 - I6) / (1 - J6))))), "-")</f>
        <v>45.351333333333322</v>
      </c>
      <c r="O6" s="189">
        <f>IFERROR(IF(J6 = 1, "Completed module", IF(((40 - I6) / (1 - J6)) &gt; 100, "Unattainable", IF(((40 - I6) / (1 - J6)) &lt; 0, "Already attained", ((40 - I6) / (1 - J6))))), "-")</f>
        <v>32.017999999999994</v>
      </c>
    </row>
    <row r="7" spans="1:15" ht="13.2" x14ac:dyDescent="0.25">
      <c r="A7" s="212"/>
      <c r="B7" s="197"/>
      <c r="C7" s="200"/>
      <c r="D7" s="200"/>
      <c r="E7" s="45" t="s">
        <v>19</v>
      </c>
      <c r="F7" s="44">
        <v>0.35</v>
      </c>
      <c r="G7" s="45" t="s">
        <v>21</v>
      </c>
      <c r="H7" s="46"/>
      <c r="I7" s="203"/>
      <c r="J7" s="203"/>
      <c r="K7" s="194"/>
      <c r="L7" s="194"/>
      <c r="M7" s="194"/>
      <c r="N7" s="167"/>
      <c r="O7" s="191"/>
    </row>
    <row r="8" spans="1:15" ht="13.2" x14ac:dyDescent="0.25">
      <c r="A8" s="212"/>
      <c r="B8" s="197"/>
      <c r="C8" s="200"/>
      <c r="D8" s="200"/>
      <c r="E8" s="45" t="s">
        <v>22</v>
      </c>
      <c r="F8" s="44">
        <v>0.1</v>
      </c>
      <c r="G8" s="45" t="s">
        <v>23</v>
      </c>
      <c r="H8" s="46">
        <v>56</v>
      </c>
      <c r="I8" s="203"/>
      <c r="J8" s="203"/>
      <c r="K8" s="194"/>
      <c r="L8" s="194"/>
      <c r="M8" s="194"/>
      <c r="N8" s="167"/>
      <c r="O8" s="191"/>
    </row>
    <row r="9" spans="1:15" ht="13.2" x14ac:dyDescent="0.25">
      <c r="A9" s="212"/>
      <c r="B9" s="197"/>
      <c r="C9" s="200"/>
      <c r="D9" s="200"/>
      <c r="E9" s="45" t="s">
        <v>22</v>
      </c>
      <c r="F9" s="44">
        <v>0.05</v>
      </c>
      <c r="G9" s="45" t="s">
        <v>24</v>
      </c>
      <c r="H9" s="46">
        <v>65.73</v>
      </c>
      <c r="I9" s="203"/>
      <c r="J9" s="203"/>
      <c r="K9" s="194"/>
      <c r="L9" s="194"/>
      <c r="M9" s="194"/>
      <c r="N9" s="167"/>
      <c r="O9" s="191"/>
    </row>
    <row r="10" spans="1:15" ht="13.2" x14ac:dyDescent="0.25">
      <c r="A10" s="212"/>
      <c r="B10" s="197"/>
      <c r="C10" s="200"/>
      <c r="D10" s="200"/>
      <c r="E10" s="45" t="s">
        <v>22</v>
      </c>
      <c r="F10" s="44">
        <v>0.1</v>
      </c>
      <c r="G10" s="45" t="s">
        <v>25</v>
      </c>
      <c r="H10" s="46">
        <v>71</v>
      </c>
      <c r="I10" s="203"/>
      <c r="J10" s="203"/>
      <c r="K10" s="194"/>
      <c r="L10" s="194"/>
      <c r="M10" s="194"/>
      <c r="N10" s="167"/>
      <c r="O10" s="191"/>
    </row>
    <row r="11" spans="1:15" ht="13.8" thickBot="1" x14ac:dyDescent="0.3">
      <c r="A11" s="213"/>
      <c r="B11" s="198"/>
      <c r="C11" s="201"/>
      <c r="D11" s="201"/>
      <c r="E11" s="54" t="s">
        <v>22</v>
      </c>
      <c r="F11" s="55">
        <v>0.05</v>
      </c>
      <c r="G11" s="54" t="s">
        <v>26</v>
      </c>
      <c r="H11" s="56"/>
      <c r="I11" s="204"/>
      <c r="J11" s="204"/>
      <c r="K11" s="195"/>
      <c r="L11" s="195"/>
      <c r="M11" s="195"/>
      <c r="N11" s="168"/>
      <c r="O11" s="190"/>
    </row>
    <row r="12" spans="1:15" ht="13.8" thickTop="1" x14ac:dyDescent="0.25">
      <c r="A12" s="211" t="s">
        <v>141</v>
      </c>
      <c r="B12" s="196" t="s">
        <v>27</v>
      </c>
      <c r="C12" s="199">
        <v>15</v>
      </c>
      <c r="D12" s="205">
        <v>0.4</v>
      </c>
      <c r="E12" s="49" t="s">
        <v>19</v>
      </c>
      <c r="F12" s="48">
        <v>0.2</v>
      </c>
      <c r="G12" s="49" t="s">
        <v>28</v>
      </c>
      <c r="H12" s="50"/>
      <c r="I12" s="202">
        <f>IF(F12=1, H12, SUMPRODUCT(H12:H16, F12:F16))</f>
        <v>0</v>
      </c>
      <c r="J12" s="202">
        <f>SUMIF(H12:H16, "&lt;&gt;", F12:F16) / SUMIF(F12:F16, "&lt;&gt;")</f>
        <v>0.16700000000000001</v>
      </c>
      <c r="K12" s="193">
        <f>IFERROR(I12/J12, "No grades yet")</f>
        <v>0</v>
      </c>
      <c r="L12" s="193">
        <f>IFERROR(IF(J12 = 1, "Completed module", IF(((70 - I12) / (1 - J12)) &gt; 100, "Unattainable", IF(((70 - I12) / (1 - J12)) &lt; 0, "Already attained", ((70 - I12) / (1 - J12))))), "-")</f>
        <v>84.033613445378151</v>
      </c>
      <c r="M12" s="193">
        <f>IFERROR(IF(J12 = 1, "Completed module", IF(((60 - I12) / (1 - J12)) &gt; 100, "Unattainable", IF(((60 - I12) / (1 - J12)) &lt; 0, "Already attained", ((60 - I12) / (1 - J12))))), "-")</f>
        <v>72.02881152460985</v>
      </c>
      <c r="N12" s="166">
        <f>IFERROR(IF(J12 = 1, "Completed module", IF(((50 - I12) / (1 - J12)) &gt; 100, "Unattainable", IF(((50 - I12) / (1 - J12)) &lt; 0, "Already attained", ((50 - I12) / (1 - J12))))), "-")</f>
        <v>60.024009603841542</v>
      </c>
      <c r="O12" s="189">
        <f>IFERROR(IF(J12 = 1, "Completed module", IF(((40 - I12) / (1 - J12)) &gt; 100, "Unattainable", IF(((40 - I12) / (1 - J12)) &lt; 0, "Already attained", ((40 - I12) / (1 - J12))))), "-")</f>
        <v>48.019207683073233</v>
      </c>
    </row>
    <row r="13" spans="1:15" ht="13.2" x14ac:dyDescent="0.25">
      <c r="A13" s="214"/>
      <c r="B13" s="217"/>
      <c r="C13" s="219"/>
      <c r="D13" s="206"/>
      <c r="E13" s="45" t="s">
        <v>19</v>
      </c>
      <c r="F13" s="44">
        <v>0.25</v>
      </c>
      <c r="G13" s="45" t="s">
        <v>29</v>
      </c>
      <c r="H13" s="46"/>
      <c r="I13" s="203"/>
      <c r="J13" s="203"/>
      <c r="K13" s="194"/>
      <c r="L13" s="194"/>
      <c r="M13" s="194"/>
      <c r="N13" s="167"/>
      <c r="O13" s="191"/>
    </row>
    <row r="14" spans="1:15" ht="13.2" x14ac:dyDescent="0.25">
      <c r="A14" s="214"/>
      <c r="B14" s="217"/>
      <c r="C14" s="219"/>
      <c r="D14" s="206"/>
      <c r="E14" s="45" t="s">
        <v>22</v>
      </c>
      <c r="F14" s="57">
        <v>0.13300000000000001</v>
      </c>
      <c r="G14" s="45" t="s">
        <v>30</v>
      </c>
      <c r="H14" s="46"/>
      <c r="I14" s="203"/>
      <c r="J14" s="203"/>
      <c r="K14" s="194"/>
      <c r="L14" s="194"/>
      <c r="M14" s="194"/>
      <c r="N14" s="167"/>
      <c r="O14" s="191"/>
    </row>
    <row r="15" spans="1:15" ht="13.2" x14ac:dyDescent="0.25">
      <c r="A15" s="214"/>
      <c r="B15" s="217"/>
      <c r="C15" s="219"/>
      <c r="D15" s="206"/>
      <c r="E15" s="45" t="s">
        <v>31</v>
      </c>
      <c r="F15" s="44">
        <v>0.25</v>
      </c>
      <c r="G15" s="45" t="s">
        <v>31</v>
      </c>
      <c r="H15" s="46"/>
      <c r="I15" s="203"/>
      <c r="J15" s="203"/>
      <c r="K15" s="194"/>
      <c r="L15" s="194"/>
      <c r="M15" s="194"/>
      <c r="N15" s="167"/>
      <c r="O15" s="191"/>
    </row>
    <row r="16" spans="1:15" ht="13.8" thickBot="1" x14ac:dyDescent="0.3">
      <c r="A16" s="215"/>
      <c r="B16" s="218"/>
      <c r="C16" s="220"/>
      <c r="D16" s="207"/>
      <c r="E16" s="54" t="s">
        <v>13</v>
      </c>
      <c r="F16" s="62">
        <v>0.16700000000000001</v>
      </c>
      <c r="G16" s="54" t="s">
        <v>32</v>
      </c>
      <c r="H16" s="56">
        <v>0</v>
      </c>
      <c r="I16" s="204"/>
      <c r="J16" s="204"/>
      <c r="K16" s="195"/>
      <c r="L16" s="195"/>
      <c r="M16" s="195"/>
      <c r="N16" s="168"/>
      <c r="O16" s="190"/>
    </row>
    <row r="17" spans="1:15" ht="13.8" thickTop="1" x14ac:dyDescent="0.25">
      <c r="A17" s="211" t="s">
        <v>142</v>
      </c>
      <c r="B17" s="196" t="s">
        <v>33</v>
      </c>
      <c r="C17" s="199">
        <v>15</v>
      </c>
      <c r="D17" s="205">
        <v>0.4</v>
      </c>
      <c r="E17" s="49" t="s">
        <v>19</v>
      </c>
      <c r="F17" s="48">
        <v>0.3</v>
      </c>
      <c r="G17" s="49" t="s">
        <v>19</v>
      </c>
      <c r="H17" s="50"/>
      <c r="I17" s="202">
        <f>IF(F17=1, H17, SUMPRODUCT(H17:H23, F17:F23))</f>
        <v>23.9</v>
      </c>
      <c r="J17" s="202">
        <f>SUMIF(H17:H23, "&lt;&gt;", F17:F23) / SUMIF(F17:F23, "&lt;&gt;")</f>
        <v>0.55000000000000004</v>
      </c>
      <c r="K17" s="193">
        <f>IFERROR(I17/J17, "No grades yet")</f>
        <v>43.454545454545446</v>
      </c>
      <c r="L17" s="193" t="str">
        <f>IFERROR(IF(J17 = 1, "Completed module", IF(((70 - I17) / (1 - J17)) &gt; 100, "Unattainable", IF(((70 - I17) / (1 - J17)) &lt; 0, "Already attained", ((70 - I17) / (1 - J17))))), "-")</f>
        <v>Unattainable</v>
      </c>
      <c r="M17" s="193">
        <f>IFERROR(IF(J17 = 1, "Completed module", IF(((60 - I17) / (1 - J17)) &gt; 100, "Unattainable", IF(((60 - I17) / (1 - J17)) &lt; 0, "Already attained", ((60 - I17) / (1 - J17))))), "-")</f>
        <v>80.222222222222229</v>
      </c>
      <c r="N17" s="166">
        <f>IFERROR(IF(J17 = 1, "Completed module", IF(((50 - I17) / (1 - J17)) &gt; 100, "Unattainable", IF(((50 - I17) / (1 - J17)) &lt; 0, "Already attained", ((50 - I17) / (1 - J17))))), "-")</f>
        <v>58.000000000000007</v>
      </c>
      <c r="O17" s="189">
        <f>IFERROR(IF(J17 = 1, "Completed module", IF(((40 - I17) / (1 - J17)) &gt; 100, "Unattainable", IF(((40 - I17) / (1 - J17)) &lt; 0, "Already attained", ((40 - I17) / (1 - J17))))), "-")</f>
        <v>35.777777777777786</v>
      </c>
    </row>
    <row r="18" spans="1:15" ht="13.2" x14ac:dyDescent="0.25">
      <c r="A18" s="212"/>
      <c r="B18" s="197"/>
      <c r="C18" s="200"/>
      <c r="D18" s="200"/>
      <c r="E18" s="45" t="s">
        <v>22</v>
      </c>
      <c r="F18" s="44">
        <v>0.25</v>
      </c>
      <c r="G18" s="45" t="s">
        <v>22</v>
      </c>
      <c r="H18" s="46">
        <v>32</v>
      </c>
      <c r="I18" s="203"/>
      <c r="J18" s="203"/>
      <c r="K18" s="194"/>
      <c r="L18" s="194"/>
      <c r="M18" s="194"/>
      <c r="N18" s="167"/>
      <c r="O18" s="191"/>
    </row>
    <row r="19" spans="1:15" ht="13.2" x14ac:dyDescent="0.25">
      <c r="A19" s="212"/>
      <c r="B19" s="197"/>
      <c r="C19" s="200"/>
      <c r="D19" s="200"/>
      <c r="E19" s="45" t="s">
        <v>34</v>
      </c>
      <c r="F19" s="57">
        <v>0.17499999999999999</v>
      </c>
      <c r="G19" s="45" t="s">
        <v>34</v>
      </c>
      <c r="H19" s="46">
        <v>43</v>
      </c>
      <c r="I19" s="203"/>
      <c r="J19" s="203"/>
      <c r="K19" s="194"/>
      <c r="L19" s="194"/>
      <c r="M19" s="194"/>
      <c r="N19" s="167"/>
      <c r="O19" s="191"/>
    </row>
    <row r="20" spans="1:15" ht="13.2" x14ac:dyDescent="0.25">
      <c r="A20" s="212"/>
      <c r="B20" s="197"/>
      <c r="C20" s="200"/>
      <c r="D20" s="200"/>
      <c r="E20" s="45" t="s">
        <v>31</v>
      </c>
      <c r="F20" s="57">
        <v>7.4999999999999997E-2</v>
      </c>
      <c r="G20" s="45" t="s">
        <v>31</v>
      </c>
      <c r="H20" s="46"/>
      <c r="I20" s="203"/>
      <c r="J20" s="203"/>
      <c r="K20" s="194"/>
      <c r="L20" s="194"/>
      <c r="M20" s="194"/>
      <c r="N20" s="167"/>
      <c r="O20" s="191"/>
    </row>
    <row r="21" spans="1:15" ht="13.2" x14ac:dyDescent="0.25">
      <c r="A21" s="212"/>
      <c r="B21" s="197"/>
      <c r="C21" s="200"/>
      <c r="D21" s="200"/>
      <c r="E21" s="45" t="s">
        <v>31</v>
      </c>
      <c r="F21" s="57">
        <v>0.125</v>
      </c>
      <c r="G21" s="45" t="s">
        <v>35</v>
      </c>
      <c r="H21" s="46">
        <v>67</v>
      </c>
      <c r="I21" s="203"/>
      <c r="J21" s="203"/>
      <c r="K21" s="194"/>
      <c r="L21" s="194"/>
      <c r="M21" s="194"/>
      <c r="N21" s="167"/>
      <c r="O21" s="191"/>
    </row>
    <row r="22" spans="1:15" ht="13.2" x14ac:dyDescent="0.25">
      <c r="A22" s="212"/>
      <c r="B22" s="197"/>
      <c r="C22" s="200"/>
      <c r="D22" s="200"/>
      <c r="E22" s="45" t="s">
        <v>31</v>
      </c>
      <c r="F22" s="44">
        <v>0.05</v>
      </c>
      <c r="G22" s="45" t="s">
        <v>36</v>
      </c>
      <c r="H22" s="46"/>
      <c r="I22" s="203"/>
      <c r="J22" s="203"/>
      <c r="K22" s="194"/>
      <c r="L22" s="194"/>
      <c r="M22" s="194"/>
      <c r="N22" s="167"/>
      <c r="O22" s="191"/>
    </row>
    <row r="23" spans="1:15" ht="13.8" thickBot="1" x14ac:dyDescent="0.3">
      <c r="A23" s="213"/>
      <c r="B23" s="198"/>
      <c r="C23" s="201"/>
      <c r="D23" s="201"/>
      <c r="E23" s="54" t="s">
        <v>31</v>
      </c>
      <c r="F23" s="62">
        <v>2.5000000000000001E-2</v>
      </c>
      <c r="G23" s="54" t="s">
        <v>37</v>
      </c>
      <c r="H23" s="56"/>
      <c r="I23" s="204"/>
      <c r="J23" s="204"/>
      <c r="K23" s="195"/>
      <c r="L23" s="195"/>
      <c r="M23" s="195"/>
      <c r="N23" s="168"/>
      <c r="O23" s="190"/>
    </row>
    <row r="24" spans="1:15" ht="13.8" thickTop="1" x14ac:dyDescent="0.25">
      <c r="A24" s="211" t="s">
        <v>143</v>
      </c>
      <c r="B24" s="196" t="s">
        <v>38</v>
      </c>
      <c r="C24" s="199">
        <v>5</v>
      </c>
      <c r="D24" s="205">
        <v>0.4</v>
      </c>
      <c r="E24" s="49" t="s">
        <v>39</v>
      </c>
      <c r="F24" s="48">
        <v>0.5</v>
      </c>
      <c r="G24" s="49" t="s">
        <v>40</v>
      </c>
      <c r="H24" s="50">
        <v>60</v>
      </c>
      <c r="I24" s="193">
        <f>IF(F24=1, H24, SUMPRODUCT(H24:H25, F24:F25))</f>
        <v>71.25</v>
      </c>
      <c r="J24" s="193">
        <f>SUMIF(H24:H25, "&lt;&gt;", F24:F25) / SUMIF(F24:F25, "&lt;&gt;")</f>
        <v>1</v>
      </c>
      <c r="K24" s="193">
        <f>IFERROR(I24/J24, "No grades yet")</f>
        <v>71.25</v>
      </c>
      <c r="L24" s="193" t="str">
        <f>IFERROR(IF(J24 = 1, "Completed module", IF(((70 - I24) / (1 - J24)) &gt; 100, "Unattainable", IF(((70 - I24) / (1 - J24)) &lt; 0, "Already attained", ((70 - I24) / (1 - J24))))), "-")</f>
        <v>Completed module</v>
      </c>
      <c r="M24" s="193" t="str">
        <f>IFERROR(IF(J24 = 1, "Completed module", IF(((60 - I24) / (1 - J24)) &gt; 100, "Unattainable", IF(((60 - I24) / (1 - J24)) &lt; 0, "Already attained", ((60 - I24) / (1 - J24))))), "-")</f>
        <v>Completed module</v>
      </c>
      <c r="N24" s="166" t="str">
        <f>IFERROR(IF(J24 = 1, "Completed module", IF(((50 - I24) / (1 - J24)) &gt; 100, "Unattainable", IF(((50 - I24) / (1 - J24)) &lt; 0, "Already attained", ((50 - I24) / (1 - J24))))), "-")</f>
        <v>Completed module</v>
      </c>
      <c r="O24" s="189" t="str">
        <f>IFERROR(IF(J24 = 1, "Completed module", IF(((40 - I24) / (1 - J24)) &gt; 100, "Unattainable", IF(((40 - I24) / (1 - J24)) &lt; 0, "Already attained", ((40 - I24) / (1 - J24))))), "-")</f>
        <v>Completed module</v>
      </c>
    </row>
    <row r="25" spans="1:15" ht="13.8" thickBot="1" x14ac:dyDescent="0.3">
      <c r="A25" s="216"/>
      <c r="B25" s="209"/>
      <c r="C25" s="210"/>
      <c r="D25" s="210"/>
      <c r="E25" s="51" t="s">
        <v>39</v>
      </c>
      <c r="F25" s="52">
        <v>0.5</v>
      </c>
      <c r="G25" s="51" t="s">
        <v>41</v>
      </c>
      <c r="H25" s="53">
        <v>82.5</v>
      </c>
      <c r="I25" s="208"/>
      <c r="J25" s="208"/>
      <c r="K25" s="208"/>
      <c r="L25" s="208"/>
      <c r="M25" s="208"/>
      <c r="N25" s="181"/>
      <c r="O25" s="192"/>
    </row>
    <row r="26" spans="1:15" ht="15.75" customHeight="1" thickTop="1" x14ac:dyDescent="0.25"/>
  </sheetData>
  <mergeCells count="55">
    <mergeCell ref="D24:D25"/>
    <mergeCell ref="A2:A5"/>
    <mergeCell ref="A6:A11"/>
    <mergeCell ref="A12:A16"/>
    <mergeCell ref="A17:A23"/>
    <mergeCell ref="A24:A25"/>
    <mergeCell ref="B12:B16"/>
    <mergeCell ref="C12:C16"/>
    <mergeCell ref="M12:M16"/>
    <mergeCell ref="L24:L25"/>
    <mergeCell ref="M24:M25"/>
    <mergeCell ref="B17:B23"/>
    <mergeCell ref="C17:C23"/>
    <mergeCell ref="I17:I23"/>
    <mergeCell ref="J17:J23"/>
    <mergeCell ref="K17:K23"/>
    <mergeCell ref="L17:L23"/>
    <mergeCell ref="M17:M23"/>
    <mergeCell ref="B24:B25"/>
    <mergeCell ref="C24:C25"/>
    <mergeCell ref="I24:I25"/>
    <mergeCell ref="J24:J25"/>
    <mergeCell ref="K24:K25"/>
    <mergeCell ref="D17:D23"/>
    <mergeCell ref="I12:I16"/>
    <mergeCell ref="J12:J16"/>
    <mergeCell ref="K12:K16"/>
    <mergeCell ref="D12:D16"/>
    <mergeCell ref="L2:L5"/>
    <mergeCell ref="L12:L16"/>
    <mergeCell ref="M2:M5"/>
    <mergeCell ref="B6:B11"/>
    <mergeCell ref="C6:C11"/>
    <mergeCell ref="I6:I11"/>
    <mergeCell ref="J6:J11"/>
    <mergeCell ref="K6:K11"/>
    <mergeCell ref="L6:L11"/>
    <mergeCell ref="M6:M11"/>
    <mergeCell ref="B2:B5"/>
    <mergeCell ref="C2:C5"/>
    <mergeCell ref="I2:I5"/>
    <mergeCell ref="J2:J5"/>
    <mergeCell ref="K2:K5"/>
    <mergeCell ref="D2:D5"/>
    <mergeCell ref="D6:D11"/>
    <mergeCell ref="N17:N23"/>
    <mergeCell ref="O17:O23"/>
    <mergeCell ref="N24:N25"/>
    <mergeCell ref="O24:O25"/>
    <mergeCell ref="N2:N5"/>
    <mergeCell ref="O2:O5"/>
    <mergeCell ref="N6:N11"/>
    <mergeCell ref="O6:O11"/>
    <mergeCell ref="N12:N16"/>
    <mergeCell ref="O12:O16"/>
  </mergeCells>
  <conditionalFormatting sqref="H2:H25 K2:K25">
    <cfRule type="cellIs" dxfId="1095" priority="3" operator="greaterThanOrEqual">
      <formula>70</formula>
    </cfRule>
    <cfRule type="cellIs" dxfId="1094" priority="4" operator="between">
      <formula>70</formula>
      <formula>60</formula>
    </cfRule>
    <cfRule type="cellIs" dxfId="1093" priority="5" operator="between">
      <formula>60</formula>
      <formula>50</formula>
    </cfRule>
    <cfRule type="cellIs" dxfId="1092" priority="6" operator="between">
      <formula>40</formula>
      <formula>50</formula>
    </cfRule>
    <cfRule type="cellIs" dxfId="1091" priority="7" operator="lessThan">
      <formula>40</formula>
    </cfRule>
  </conditionalFormatting>
  <conditionalFormatting sqref="H2:H25">
    <cfRule type="containsBlanks" dxfId="1090" priority="2">
      <formula>LEN(TRIM(H2))=0</formula>
    </cfRule>
  </conditionalFormatting>
  <conditionalFormatting sqref="K2:K25">
    <cfRule type="containsText" dxfId="1089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9"/>
  <sheetViews>
    <sheetView tabSelected="1" zoomScale="66" zoomScaleNormal="115" workbookViewId="0">
      <selection activeCell="F58" sqref="F58"/>
    </sheetView>
  </sheetViews>
  <sheetFormatPr defaultColWidth="12.6640625" defaultRowHeight="15.75" customHeight="1" x14ac:dyDescent="0.25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customWidth="1"/>
    <col min="13" max="13" width="27.33203125" customWidth="1"/>
    <col min="14" max="14" width="25.88671875" hidden="1" customWidth="1"/>
    <col min="15" max="15" width="26" hidden="1" customWidth="1"/>
    <col min="16" max="16" width="25.21875" hidden="1" customWidth="1"/>
  </cols>
  <sheetData>
    <row r="1" spans="1:16" ht="15.75" customHeight="1" x14ac:dyDescent="0.25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6" ht="15.75" customHeight="1" thickBo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16" ht="13.8" thickBot="1" x14ac:dyDescent="0.3">
      <c r="A3" s="4" t="s">
        <v>67</v>
      </c>
      <c r="B3" s="4" t="s">
        <v>3</v>
      </c>
      <c r="C3" s="5" t="s">
        <v>0</v>
      </c>
      <c r="D3" s="5" t="s">
        <v>93</v>
      </c>
      <c r="E3" s="5" t="s">
        <v>94</v>
      </c>
      <c r="F3" s="223" t="s">
        <v>95</v>
      </c>
      <c r="G3" s="224"/>
      <c r="H3" s="225"/>
      <c r="I3" s="5" t="s">
        <v>4</v>
      </c>
      <c r="J3" s="5" t="s">
        <v>5</v>
      </c>
      <c r="K3" s="5" t="s">
        <v>6</v>
      </c>
      <c r="L3" s="6" t="s">
        <v>7</v>
      </c>
      <c r="M3" s="5" t="s">
        <v>8</v>
      </c>
      <c r="N3" s="7" t="s">
        <v>9</v>
      </c>
      <c r="O3" s="17" t="s">
        <v>202</v>
      </c>
      <c r="P3" s="17" t="s">
        <v>203</v>
      </c>
    </row>
    <row r="4" spans="1:16" ht="13.2" customHeight="1" thickTop="1" x14ac:dyDescent="0.25">
      <c r="A4" s="211" t="s">
        <v>68</v>
      </c>
      <c r="B4" s="196" t="s">
        <v>69</v>
      </c>
      <c r="C4" s="199">
        <v>20</v>
      </c>
      <c r="D4" s="199">
        <v>36.299999999999997</v>
      </c>
      <c r="E4" s="205">
        <v>0.4</v>
      </c>
      <c r="F4" s="49" t="s">
        <v>11</v>
      </c>
      <c r="G4" s="48">
        <v>0.15</v>
      </c>
      <c r="H4" s="49" t="s">
        <v>70</v>
      </c>
      <c r="I4" s="50"/>
      <c r="J4" s="193">
        <f>IF(G4=1, I4, SUMPRODUCT(I4:I8, G4:G8))</f>
        <v>5</v>
      </c>
      <c r="K4" s="193">
        <f>SUMIF(I4:I8, "&lt;&gt;", G4:G8) / SUMIF(G4:G8, "&lt;&gt;")</f>
        <v>0.1</v>
      </c>
      <c r="L4" s="193">
        <f>IFERROR(J4/K4, "No grades yet")</f>
        <v>50</v>
      </c>
      <c r="M4" s="193">
        <f>IFERROR(IF(K4 = 1, "Completed module", IF(((70 - J4) / (1 - K4)) &gt; 100, "Unattainable", IF(((70 - J4) / (1 - K4)) &lt; 0, "Already attained", ((70 - J4) / (1 - K4))))), "-")</f>
        <v>72.222222222222214</v>
      </c>
      <c r="N4" s="193">
        <f>IFERROR(IF(K4 = 1, "Completed module", IF(((60 - J4) / (1 - K4)) &gt; 100, "Unattainable", IF(((60 - J4) / (1 - K4)) &lt; 0, "Already attained", ((60 - J4) / (1 - K4))))), "-")</f>
        <v>61.111111111111107</v>
      </c>
      <c r="O4" s="166">
        <f>IFERROR(IF(K4 = 1, "Completed module", IF(((50 - J4) / (1 - K4)) &gt; 100, "Unattainable", IF(((50 - J4) / (1 - K4)) &lt; 0, "Already attained", ((50 - J4) / (1 - K4))))), "-")</f>
        <v>50</v>
      </c>
      <c r="P4" s="189">
        <f>IFERROR(IF(K4 = 1, "Completed module", IF(((40 - J4) / (1 - K4)) &gt; 100, "Unattainable", IF(((40 - J4) / (1 - K4)) &lt; 0, "Already attained", ((40 - J4) / (1 - K4))))), "-")</f>
        <v>38.888888888888886</v>
      </c>
    </row>
    <row r="5" spans="1:16" ht="13.2" x14ac:dyDescent="0.25">
      <c r="A5" s="214"/>
      <c r="B5" s="217"/>
      <c r="C5" s="219"/>
      <c r="D5" s="219"/>
      <c r="E5" s="206"/>
      <c r="F5" s="45" t="s">
        <v>11</v>
      </c>
      <c r="G5" s="44">
        <v>0.1</v>
      </c>
      <c r="H5" s="45" t="s">
        <v>71</v>
      </c>
      <c r="I5" s="46">
        <v>50</v>
      </c>
      <c r="J5" s="194"/>
      <c r="K5" s="194"/>
      <c r="L5" s="194"/>
      <c r="M5" s="194"/>
      <c r="N5" s="194"/>
      <c r="O5" s="167"/>
      <c r="P5" s="191"/>
    </row>
    <row r="6" spans="1:16" ht="13.2" x14ac:dyDescent="0.25">
      <c r="A6" s="214"/>
      <c r="B6" s="217"/>
      <c r="C6" s="219"/>
      <c r="D6" s="219"/>
      <c r="E6" s="206"/>
      <c r="F6" s="45" t="s">
        <v>13</v>
      </c>
      <c r="G6" s="44">
        <v>0.2</v>
      </c>
      <c r="H6" s="45" t="s">
        <v>72</v>
      </c>
      <c r="I6" s="46"/>
      <c r="J6" s="194"/>
      <c r="K6" s="194"/>
      <c r="L6" s="194"/>
      <c r="M6" s="194"/>
      <c r="N6" s="194"/>
      <c r="O6" s="167"/>
      <c r="P6" s="191"/>
    </row>
    <row r="7" spans="1:16" ht="13.2" x14ac:dyDescent="0.25">
      <c r="A7" s="214"/>
      <c r="B7" s="217"/>
      <c r="C7" s="219"/>
      <c r="D7" s="219"/>
      <c r="E7" s="206"/>
      <c r="F7" s="45" t="s">
        <v>11</v>
      </c>
      <c r="G7" s="44">
        <v>0.4</v>
      </c>
      <c r="H7" s="45" t="s">
        <v>17</v>
      </c>
      <c r="I7" s="46"/>
      <c r="J7" s="194"/>
      <c r="K7" s="194"/>
      <c r="L7" s="194"/>
      <c r="M7" s="194"/>
      <c r="N7" s="194"/>
      <c r="O7" s="167"/>
      <c r="P7" s="191"/>
    </row>
    <row r="8" spans="1:16" ht="13.8" thickBot="1" x14ac:dyDescent="0.3">
      <c r="A8" s="215"/>
      <c r="B8" s="218"/>
      <c r="C8" s="220"/>
      <c r="D8" s="220"/>
      <c r="E8" s="207"/>
      <c r="F8" s="54" t="s">
        <v>73</v>
      </c>
      <c r="G8" s="55">
        <v>0.15</v>
      </c>
      <c r="H8" s="54" t="s">
        <v>74</v>
      </c>
      <c r="I8" s="56"/>
      <c r="J8" s="195"/>
      <c r="K8" s="195"/>
      <c r="L8" s="195"/>
      <c r="M8" s="195"/>
      <c r="N8" s="195"/>
      <c r="O8" s="168"/>
      <c r="P8" s="190"/>
    </row>
    <row r="9" spans="1:16" ht="13.2" customHeight="1" thickTop="1" x14ac:dyDescent="0.25">
      <c r="A9" s="211" t="s">
        <v>75</v>
      </c>
      <c r="B9" s="196" t="s">
        <v>76</v>
      </c>
      <c r="C9" s="199">
        <v>5</v>
      </c>
      <c r="D9" s="199">
        <v>9.1</v>
      </c>
      <c r="E9" s="205">
        <v>0.4</v>
      </c>
      <c r="F9" s="49" t="s">
        <v>19</v>
      </c>
      <c r="G9" s="48">
        <v>0.8</v>
      </c>
      <c r="H9" s="49" t="s">
        <v>43</v>
      </c>
      <c r="I9" s="50"/>
      <c r="J9" s="193">
        <f>IF(G9=1, I9, SUMPRODUCT(I9:I10, G9:G10))</f>
        <v>16</v>
      </c>
      <c r="K9" s="193">
        <f>SUMIF(I9:I10, "&lt;&gt;", G9:G10) / SUMIF(G9:G10, "&lt;&gt;")</f>
        <v>0.2</v>
      </c>
      <c r="L9" s="193">
        <f>IFERROR(J9/K9, "No grades yet")</f>
        <v>80</v>
      </c>
      <c r="M9" s="193">
        <f>IFERROR(IF(K9 = 1, "Completed module", IF(((70 - J9) / (1 - K9)) &gt; 100, "Unattainable", IF(((70 - J9) / (1 - K9)) &lt; 0, "Already attained", ((70 - J9) / (1 - K9))))), "-")</f>
        <v>67.5</v>
      </c>
      <c r="N9" s="193">
        <f>IFERROR(IF(K9 = 1, "Completed module", IF(((60 - J9) / (1 - K9)) &gt; 100, "Unattainable", IF(((60 - J9) / (1 - K9)) &lt; 0, "Already attained", ((60 - J9) / (1 - K9))))), "-")</f>
        <v>55</v>
      </c>
      <c r="O9" s="166">
        <f>IFERROR(IF(K9 = 1, "Completed module", IF(((50 - J9) / (1 - K9)) &gt; 100, "Unattainable", IF(((50 - J9) / (1 - K9)) &lt; 0, "Already attained", ((50 - J9) / (1 - K9))))), "-")</f>
        <v>42.5</v>
      </c>
      <c r="P9" s="189">
        <f>IFERROR(IF(K9 = 1, "Completed module", IF(((40 - J9) / (1 - K9)) &gt; 100, "Unattainable", IF(((40 - J9) / (1 - K9)) &lt; 0, "Already attained", ((40 - J9) / (1 - K9))))), "-")</f>
        <v>30</v>
      </c>
    </row>
    <row r="10" spans="1:16" ht="13.8" thickBot="1" x14ac:dyDescent="0.3">
      <c r="A10" s="215"/>
      <c r="B10" s="218"/>
      <c r="C10" s="220"/>
      <c r="D10" s="220"/>
      <c r="E10" s="207"/>
      <c r="F10" s="54" t="s">
        <v>34</v>
      </c>
      <c r="G10" s="55">
        <v>0.2</v>
      </c>
      <c r="H10" s="54" t="s">
        <v>77</v>
      </c>
      <c r="I10" s="56">
        <v>80</v>
      </c>
      <c r="J10" s="195"/>
      <c r="K10" s="195"/>
      <c r="L10" s="195"/>
      <c r="M10" s="195"/>
      <c r="N10" s="195"/>
      <c r="O10" s="168"/>
      <c r="P10" s="190"/>
    </row>
    <row r="11" spans="1:16" ht="13.2" customHeight="1" thickTop="1" x14ac:dyDescent="0.25">
      <c r="A11" s="211" t="s">
        <v>78</v>
      </c>
      <c r="B11" s="196" t="s">
        <v>79</v>
      </c>
      <c r="C11" s="193">
        <v>5</v>
      </c>
      <c r="D11" s="193">
        <v>9.1</v>
      </c>
      <c r="E11" s="205">
        <v>0.4</v>
      </c>
      <c r="F11" s="49" t="s">
        <v>19</v>
      </c>
      <c r="G11" s="147">
        <v>0.67</v>
      </c>
      <c r="H11" s="49" t="s">
        <v>43</v>
      </c>
      <c r="I11" s="50"/>
      <c r="J11" s="193">
        <f>IF(G11=1, I11, SUMPRODUCT(I11:I12, G11:G12))</f>
        <v>0</v>
      </c>
      <c r="K11" s="193">
        <f>SUMIF(I11:I12, "&lt;&gt;", G11:G12) / SUMIF(G11:G12, "&lt;&gt;")</f>
        <v>0</v>
      </c>
      <c r="L11" s="193" t="str">
        <f>IFERROR(J11/K11, "No grades yet")</f>
        <v>No grades yet</v>
      </c>
      <c r="M11" s="193">
        <f>IFERROR(IF(K11 = 1, "Completed module", IF(((70 - J11) / (1 - K11)) &gt; 100, "Unattainable", IF(((70 - J11) / (1 - K11)) &lt; 0, "Already attained", ((70 - J11) / (1 - K11))))), "-")</f>
        <v>70</v>
      </c>
      <c r="N11" s="193">
        <f>IFERROR(IF(K11 = 1, "Completed module", IF(((60 - J11) / (1 - K11)) &gt; 100, "Unattainable", IF(((60 - J11) / (1 - K11)) &lt; 0, "Already attained", ((60 - J11) / (1 - K11))))), "-")</f>
        <v>60</v>
      </c>
      <c r="O11" s="166">
        <f>IFERROR(IF(K11 = 1, "Completed module", IF(((50 - J11) / (1 - K11)) &gt; 100, "Unattainable", IF(((50 - J11) / (1 - K11)) &lt; 0, "Already attained", ((50 - J11) / (1 - K11))))), "-")</f>
        <v>50</v>
      </c>
      <c r="P11" s="189">
        <f>IFERROR(IF(K11 = 1, "Completed module", IF(((40 - J11) / (1 - K11)) &gt; 100, "Unattainable", IF(((40 - J11) / (1 - K11)) &lt; 0, "Already attained", ((40 - J11) / (1 - K11))))), "-")</f>
        <v>40</v>
      </c>
    </row>
    <row r="12" spans="1:16" ht="13.8" thickBot="1" x14ac:dyDescent="0.3">
      <c r="A12" s="215"/>
      <c r="B12" s="218"/>
      <c r="C12" s="195"/>
      <c r="D12" s="195"/>
      <c r="E12" s="207"/>
      <c r="F12" s="54" t="s">
        <v>11</v>
      </c>
      <c r="G12" s="148">
        <v>0.33</v>
      </c>
      <c r="H12" s="54" t="s">
        <v>80</v>
      </c>
      <c r="I12" s="56"/>
      <c r="J12" s="195"/>
      <c r="K12" s="195"/>
      <c r="L12" s="195"/>
      <c r="M12" s="195"/>
      <c r="N12" s="195"/>
      <c r="O12" s="168"/>
      <c r="P12" s="190"/>
    </row>
    <row r="13" spans="1:16" ht="13.8" thickTop="1" x14ac:dyDescent="0.25">
      <c r="A13" s="211" t="s">
        <v>81</v>
      </c>
      <c r="B13" s="196" t="s">
        <v>82</v>
      </c>
      <c r="C13" s="193">
        <v>5</v>
      </c>
      <c r="D13" s="193">
        <v>9.1</v>
      </c>
      <c r="E13" s="205">
        <v>0.4</v>
      </c>
      <c r="F13" s="49" t="s">
        <v>19</v>
      </c>
      <c r="G13" s="147">
        <v>0.8</v>
      </c>
      <c r="H13" s="49" t="s">
        <v>43</v>
      </c>
      <c r="I13" s="50"/>
      <c r="J13" s="193">
        <f>IF(G13=1, I13, SUMPRODUCT(I13:I15, G13:G15))</f>
        <v>0</v>
      </c>
      <c r="K13" s="193">
        <f>SUMIF(I13:I15, "&lt;&gt;", G13:G15) / SUMIF(G13:G15, "&lt;&gt;")</f>
        <v>0</v>
      </c>
      <c r="L13" s="193" t="str">
        <f>IFERROR(J13/K13, "No grades yet")</f>
        <v>No grades yet</v>
      </c>
      <c r="M13" s="193">
        <f>IFERROR(IF(K13 = 1, "Completed module", IF(((70 - J13) / (1 - K13)) &gt; 100, "Unattainable", IF(((70 - J13) / (1 - K13)) &lt; 0, "Already attained", ((70 - J13) / (1 - K13))))), "-")</f>
        <v>70</v>
      </c>
      <c r="N13" s="193">
        <f>IFERROR(IF(K13 = 1, "Completed module", IF(((60 - J13) / (1 - K13)) &gt; 100, "Unattainable", IF(((60 - J13) / (1 - K13)) &lt; 0, "Already attained", ((60 - J13) / (1 - K13))))), "-")</f>
        <v>60</v>
      </c>
      <c r="O13" s="166">
        <f>IFERROR(IF(K13 = 1, "Completed module", IF(((50 - J13) / (1 - K13)) &gt; 100, "Unattainable", IF(((50 - J13) / (1 - K13)) &lt; 0, "Already attained", ((50 - J13) / (1 - K13))))), "-")</f>
        <v>50</v>
      </c>
      <c r="P13" s="189">
        <f>IFERROR(IF(K13 = 1, "Completed module", IF(((40 - J13) / (1 - K13)) &gt; 100, "Unattainable", IF(((40 - J13) / (1 - K13)) &lt; 0, "Already attained", ((40 - J13) / (1 - K13))))), "-")</f>
        <v>40</v>
      </c>
    </row>
    <row r="14" spans="1:16" ht="13.2" x14ac:dyDescent="0.25">
      <c r="A14" s="214"/>
      <c r="B14" s="217"/>
      <c r="C14" s="194"/>
      <c r="D14" s="194"/>
      <c r="E14" s="206"/>
      <c r="F14" s="45" t="s">
        <v>34</v>
      </c>
      <c r="G14" s="146">
        <v>0.1</v>
      </c>
      <c r="H14" s="45" t="s">
        <v>83</v>
      </c>
      <c r="I14" s="46"/>
      <c r="J14" s="194"/>
      <c r="K14" s="194"/>
      <c r="L14" s="194"/>
      <c r="M14" s="194"/>
      <c r="N14" s="194"/>
      <c r="O14" s="167"/>
      <c r="P14" s="191"/>
    </row>
    <row r="15" spans="1:16" ht="13.8" thickBot="1" x14ac:dyDescent="0.3">
      <c r="A15" s="215"/>
      <c r="B15" s="218"/>
      <c r="C15" s="195"/>
      <c r="D15" s="195"/>
      <c r="E15" s="207"/>
      <c r="F15" s="54" t="s">
        <v>34</v>
      </c>
      <c r="G15" s="148">
        <v>0.1</v>
      </c>
      <c r="H15" s="54" t="s">
        <v>84</v>
      </c>
      <c r="I15" s="56"/>
      <c r="J15" s="195"/>
      <c r="K15" s="195"/>
      <c r="L15" s="195"/>
      <c r="M15" s="195"/>
      <c r="N15" s="195"/>
      <c r="O15" s="168"/>
      <c r="P15" s="190"/>
    </row>
    <row r="16" spans="1:16" ht="15.75" customHeight="1" thickTop="1" x14ac:dyDescent="0.25">
      <c r="A16" s="211" t="s">
        <v>85</v>
      </c>
      <c r="B16" s="196" t="s">
        <v>86</v>
      </c>
      <c r="C16" s="199">
        <v>5</v>
      </c>
      <c r="D16" s="199">
        <v>9.1</v>
      </c>
      <c r="E16" s="205">
        <v>0.4</v>
      </c>
      <c r="F16" s="49" t="s">
        <v>19</v>
      </c>
      <c r="G16" s="48">
        <v>0.75</v>
      </c>
      <c r="H16" s="49" t="s">
        <v>43</v>
      </c>
      <c r="I16" s="50"/>
      <c r="J16" s="193">
        <f>IF(G16=1, I16, SUMPRODUCT(I16:I17, G16:G17))</f>
        <v>0</v>
      </c>
      <c r="K16" s="193">
        <f>SUMIF(I16:I17, "&lt;&gt;", G16:G17) / SUMIF(G16:G17, "&lt;&gt;")</f>
        <v>0</v>
      </c>
      <c r="L16" s="193" t="str">
        <f>IFERROR(J16/K16, "No grades yet")</f>
        <v>No grades yet</v>
      </c>
      <c r="M16" s="193">
        <f>IFERROR(IF(K16 = 1, "Completed module", IF(((70 - J16) / (1 - K16)) &gt; 100, "Unattainable", IF(((70 - J16) / (1 - K16)) &lt; 0, "Already attained", ((70 - J16) / (1 - K16))))), "-")</f>
        <v>70</v>
      </c>
      <c r="N16" s="193">
        <f>IFERROR(IF(K16 = 1, "Completed module", IF(((60 - J16) / (1 - K16)) &gt; 100, "Unattainable", IF(((60 - J16) / (1 - K16)) &lt; 0, "Already attained", ((60 - J16) / (1 - K16))))), "-")</f>
        <v>60</v>
      </c>
      <c r="O16" s="166">
        <f>IFERROR(IF(K16 = 1, "Completed module", IF(((50 - J16) / (1 - K16)) &gt; 100, "Unattainable", IF(((50 - J16) / (1 - K16)) &lt; 0, "Already attained", ((50 - J16) / (1 - K16))))), "-")</f>
        <v>50</v>
      </c>
      <c r="P16" s="189">
        <f>IFERROR(IF(K16 = 1, "Completed module", IF(((40 - J16) / (1 - K16)) &gt; 100, "Unattainable", IF(((40 - J16) / (1 - K16)) &lt; 0, "Already attained", ((40 - J16) / (1 - K16))))), "-")</f>
        <v>40</v>
      </c>
    </row>
    <row r="17" spans="1:16" ht="13.2" customHeight="1" thickBot="1" x14ac:dyDescent="0.3">
      <c r="A17" s="215"/>
      <c r="B17" s="218"/>
      <c r="C17" s="220"/>
      <c r="D17" s="220"/>
      <c r="E17" s="207"/>
      <c r="F17" s="54" t="s">
        <v>49</v>
      </c>
      <c r="G17" s="55">
        <v>0.25</v>
      </c>
      <c r="H17" s="54" t="s">
        <v>87</v>
      </c>
      <c r="I17" s="56"/>
      <c r="J17" s="195"/>
      <c r="K17" s="195"/>
      <c r="L17" s="195"/>
      <c r="M17" s="195"/>
      <c r="N17" s="195"/>
      <c r="O17" s="168"/>
      <c r="P17" s="190"/>
    </row>
    <row r="18" spans="1:16" ht="15.75" customHeight="1" thickTop="1" thickBot="1" x14ac:dyDescent="0.3">
      <c r="A18" s="156" t="s">
        <v>88</v>
      </c>
      <c r="B18" s="155" t="s">
        <v>89</v>
      </c>
      <c r="C18" s="150">
        <v>5</v>
      </c>
      <c r="D18" s="150">
        <v>0</v>
      </c>
      <c r="E18" s="151" t="s">
        <v>90</v>
      </c>
      <c r="F18" s="149" t="s">
        <v>91</v>
      </c>
      <c r="G18" s="152" t="s">
        <v>92</v>
      </c>
      <c r="H18" s="149" t="s">
        <v>92</v>
      </c>
      <c r="I18" s="153"/>
      <c r="J18" s="154" t="e">
        <f>IF(G18=1, I18, SUMPRODUCT(I18:I18, G18:G18))</f>
        <v>#VALUE!</v>
      </c>
      <c r="K18" s="154" t="e">
        <f>SUMIF(I18:I18, "&lt;&gt;", G18:G18) / SUMIF(G18:G18, "&lt;&gt;")</f>
        <v>#DIV/0!</v>
      </c>
      <c r="L18" s="154" t="str">
        <f>IFERROR(J18/K18, "No grades yet")</f>
        <v>No grades yet</v>
      </c>
      <c r="M18" s="154" t="str">
        <f>IFERROR(IF(K18 = 1, "Completed module", IF(((70 - J18) / (1 - K18)) &gt; 100, "Unattainable", IF(((70 - J18) / (1 - K18)) &lt; 0, "Already attained", ((70 - J18) / (1 - K18))))), "-")</f>
        <v>-</v>
      </c>
      <c r="N18" s="154" t="str">
        <f>IFERROR(IF(K18 = 1, "Completed module", IF(((60 - J18) / (1 - K18)) &gt; 100, "Unattainable", IF(((60 - J18) / (1 - K18)) &lt; 0, "Already attained", ((60 - J18) / (1 - K18))))), "-")</f>
        <v>-</v>
      </c>
      <c r="O18" s="83" t="str">
        <f>IFERROR(IF(K18 = 1, "Completed module", IF(((50 - J18) / (1 - K18)) &gt; 100, "Unattainable", IF(((50 - J18) / (1 - K18)) &lt; 0, "Already attained", ((50 - J18) / (1 - K18))))), "-")</f>
        <v>-</v>
      </c>
      <c r="P18" s="84" t="str">
        <f>IFERROR(IF(K18 = 1, "Completed module", IF(((40 - J18) / (1 - K18)) &gt; 100, "Unattainable", IF(((40 - J18) / (1 - K18)) &lt; 0, "Already attained", ((40 - J18) / (1 - K18))))), "-")</f>
        <v>-</v>
      </c>
    </row>
    <row r="19" spans="1:16" ht="15.75" customHeight="1" thickTop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6" ht="15.6" customHeight="1" x14ac:dyDescent="0.25">
      <c r="A20" s="221" t="s">
        <v>96</v>
      </c>
      <c r="B20" s="22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6" ht="15.6" customHeight="1" thickBot="1" x14ac:dyDescent="0.3">
      <c r="A21" s="8"/>
      <c r="B21" s="9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6" ht="13.8" thickBot="1" x14ac:dyDescent="0.3">
      <c r="A22" s="4" t="s">
        <v>67</v>
      </c>
      <c r="B22" s="4" t="s">
        <v>3</v>
      </c>
      <c r="C22" s="5" t="s">
        <v>0</v>
      </c>
      <c r="D22" s="5" t="s">
        <v>93</v>
      </c>
      <c r="E22" s="5" t="s">
        <v>94</v>
      </c>
      <c r="F22" s="223" t="s">
        <v>95</v>
      </c>
      <c r="G22" s="224"/>
      <c r="H22" s="225"/>
      <c r="I22" s="5" t="s">
        <v>4</v>
      </c>
      <c r="J22" s="5" t="s">
        <v>5</v>
      </c>
      <c r="K22" s="5" t="s">
        <v>6</v>
      </c>
      <c r="L22" s="6" t="s">
        <v>7</v>
      </c>
      <c r="M22" s="5" t="s">
        <v>8</v>
      </c>
      <c r="N22" s="7" t="s">
        <v>9</v>
      </c>
      <c r="O22" s="17" t="s">
        <v>202</v>
      </c>
      <c r="P22" s="17" t="s">
        <v>203</v>
      </c>
    </row>
    <row r="23" spans="1:16" ht="14.4" customHeight="1" thickTop="1" x14ac:dyDescent="0.25">
      <c r="A23" s="211" t="s">
        <v>97</v>
      </c>
      <c r="B23" s="196" t="s">
        <v>98</v>
      </c>
      <c r="C23" s="199">
        <v>5</v>
      </c>
      <c r="D23" s="199">
        <v>9.1</v>
      </c>
      <c r="E23" s="205">
        <v>0.4</v>
      </c>
      <c r="F23" s="49" t="s">
        <v>19</v>
      </c>
      <c r="G23" s="48">
        <v>0.82</v>
      </c>
      <c r="H23" s="49" t="s">
        <v>43</v>
      </c>
      <c r="I23" s="50">
        <v>54</v>
      </c>
      <c r="J23" s="193">
        <f>IF(G23=1, I23, SUMPRODUCT(I23:I26, G23:G26))</f>
        <v>55.919999999999987</v>
      </c>
      <c r="K23" s="193">
        <f>SUMIF(I23:I26, "&lt;&gt;", G23:G26) / SUMIF(G23:G26, "&lt;&gt;")</f>
        <v>1</v>
      </c>
      <c r="L23" s="193">
        <f>IFERROR(J23/K23, "No grades yet")</f>
        <v>55.919999999999987</v>
      </c>
      <c r="M23" s="193" t="str">
        <f>IFERROR(IF(K23 = 1, "Completed module", IF(((70 - J23) / (1 - K23)) &gt; 100, "Unattainable", IF(((70 - J23) / (1 - K23)) &lt; 0, "Already attained", ((70 - J23) / (1 - K23))))), "-")</f>
        <v>Completed module</v>
      </c>
      <c r="N23" s="193" t="str">
        <f>IFERROR(IF(K23 = 1, "Completed module", IF(((60 - J23) / (1 - K23)) &gt; 100, "Unattainable", IF(((60 - J23) / (1 - K23)) &lt; 0, "Already attained", ((60 - J23) / (1 - K23))))), "-")</f>
        <v>Completed module</v>
      </c>
      <c r="O23" s="166" t="str">
        <f>IFERROR(IF(K23 = 1, "Completed module", IF(((50 - J23) / (1 - K23)) &gt; 100, "Unattainable", IF(((50 - J23) / (1 - K23)) &lt; 0, "Already attained", ((50 - J23) / (1 - K23))))), "-")</f>
        <v>Completed module</v>
      </c>
      <c r="P23" s="189" t="str">
        <f>IFERROR(IF(K23 = 1, "Completed module", IF(((40 - J23) / (1 - K23)) &gt; 100, "Unattainable", IF(((40 - J23) / (1 - K23)) &lt; 0, "Already attained", ((40 - J23) / (1 - K23))))), "-")</f>
        <v>Completed module</v>
      </c>
    </row>
    <row r="24" spans="1:16" ht="15.75" customHeight="1" x14ac:dyDescent="0.25">
      <c r="A24" s="214"/>
      <c r="B24" s="217"/>
      <c r="C24" s="219"/>
      <c r="D24" s="219"/>
      <c r="E24" s="206"/>
      <c r="F24" s="45" t="s">
        <v>31</v>
      </c>
      <c r="G24" s="44">
        <v>0.06</v>
      </c>
      <c r="H24" s="45" t="s">
        <v>99</v>
      </c>
      <c r="I24" s="46">
        <v>39</v>
      </c>
      <c r="J24" s="194"/>
      <c r="K24" s="194"/>
      <c r="L24" s="194"/>
      <c r="M24" s="194"/>
      <c r="N24" s="194"/>
      <c r="O24" s="167"/>
      <c r="P24" s="191"/>
    </row>
    <row r="25" spans="1:16" ht="15.75" customHeight="1" x14ac:dyDescent="0.25">
      <c r="A25" s="214"/>
      <c r="B25" s="217"/>
      <c r="C25" s="219"/>
      <c r="D25" s="219"/>
      <c r="E25" s="206"/>
      <c r="F25" s="45" t="s">
        <v>31</v>
      </c>
      <c r="G25" s="44">
        <v>0.06</v>
      </c>
      <c r="H25" s="45" t="s">
        <v>100</v>
      </c>
      <c r="I25" s="46">
        <v>65</v>
      </c>
      <c r="J25" s="194"/>
      <c r="K25" s="194"/>
      <c r="L25" s="194"/>
      <c r="M25" s="194"/>
      <c r="N25" s="194"/>
      <c r="O25" s="167"/>
      <c r="P25" s="191"/>
    </row>
    <row r="26" spans="1:16" ht="15.75" customHeight="1" thickBot="1" x14ac:dyDescent="0.3">
      <c r="A26" s="215"/>
      <c r="B26" s="218"/>
      <c r="C26" s="220"/>
      <c r="D26" s="220"/>
      <c r="E26" s="207"/>
      <c r="F26" s="54" t="s">
        <v>31</v>
      </c>
      <c r="G26" s="55">
        <v>0.06</v>
      </c>
      <c r="H26" s="54" t="s">
        <v>101</v>
      </c>
      <c r="I26" s="56">
        <v>90</v>
      </c>
      <c r="J26" s="195"/>
      <c r="K26" s="195"/>
      <c r="L26" s="195"/>
      <c r="M26" s="195"/>
      <c r="N26" s="195"/>
      <c r="O26" s="168"/>
      <c r="P26" s="190"/>
    </row>
    <row r="27" spans="1:16" ht="15.75" customHeight="1" thickTop="1" x14ac:dyDescent="0.25">
      <c r="A27" s="211" t="s">
        <v>102</v>
      </c>
      <c r="B27" s="196" t="s">
        <v>103</v>
      </c>
      <c r="C27" s="199">
        <v>5</v>
      </c>
      <c r="D27" s="199">
        <v>9.1</v>
      </c>
      <c r="E27" s="205">
        <v>0.4</v>
      </c>
      <c r="F27" s="49" t="s">
        <v>19</v>
      </c>
      <c r="G27" s="48">
        <v>0.8</v>
      </c>
      <c r="H27" s="49" t="s">
        <v>43</v>
      </c>
      <c r="I27" s="50"/>
      <c r="J27" s="193">
        <f>IF(G27=1, I27, SUMPRODUCT(I27:I28, G27:G28))</f>
        <v>0</v>
      </c>
      <c r="K27" s="193">
        <f>SUMIF(I27:I28, "&lt;&gt;", G27:G28) / SUMIF(G27:G28, "&lt;&gt;")</f>
        <v>0</v>
      </c>
      <c r="L27" s="193" t="str">
        <f>IFERROR(J27/K27, "No grades yet")</f>
        <v>No grades yet</v>
      </c>
      <c r="M27" s="193">
        <f>IFERROR(IF(K27 = 1, "Completed module", IF(((70 - J27) / (1 - K27)) &gt; 100, "Unattainable", IF(((70 - J27) / (1 - K27)) &lt; 0, "Already attained", ((70 - J27) / (1 - K27))))), "-")</f>
        <v>70</v>
      </c>
      <c r="N27" s="193">
        <f>IFERROR(IF(K27 = 1, "Completed module", IF(((60 - J27) / (1 - K27)) &gt; 100, "Unattainable", IF(((60 - J27) / (1 - K27)) &lt; 0, "Already attained", ((60 - J27) / (1 - K27))))), "-")</f>
        <v>60</v>
      </c>
      <c r="O27" s="166">
        <f>IFERROR(IF(K27 = 1, "Completed module", IF(((50 - J27) / (1 - K27)) &gt; 100, "Unattainable", IF(((50 - J27) / (1 - K27)) &lt; 0, "Already attained", ((50 - J27) / (1 - K27))))), "-")</f>
        <v>50</v>
      </c>
      <c r="P27" s="189">
        <f>IFERROR(IF(K27 = 1, "Completed module", IF(((40 - J27) / (1 - K27)) &gt; 100, "Unattainable", IF(((40 - J27) / (1 - K27)) &lt; 0, "Already attained", ((40 - J27) / (1 - K27))))), "-")</f>
        <v>40</v>
      </c>
    </row>
    <row r="28" spans="1:16" ht="15.75" customHeight="1" thickBot="1" x14ac:dyDescent="0.3">
      <c r="A28" s="215"/>
      <c r="B28" s="218"/>
      <c r="C28" s="220"/>
      <c r="D28" s="220"/>
      <c r="E28" s="207"/>
      <c r="F28" s="54" t="s">
        <v>49</v>
      </c>
      <c r="G28" s="55">
        <v>0.2</v>
      </c>
      <c r="H28" s="54" t="s">
        <v>49</v>
      </c>
      <c r="I28" s="56"/>
      <c r="J28" s="195"/>
      <c r="K28" s="195"/>
      <c r="L28" s="195"/>
      <c r="M28" s="195"/>
      <c r="N28" s="195"/>
      <c r="O28" s="168"/>
      <c r="P28" s="190"/>
    </row>
    <row r="29" spans="1:16" ht="15.6" customHeight="1" thickTop="1" x14ac:dyDescent="0.25">
      <c r="A29" s="211" t="s">
        <v>104</v>
      </c>
      <c r="B29" s="196" t="s">
        <v>105</v>
      </c>
      <c r="C29" s="199">
        <v>5</v>
      </c>
      <c r="D29" s="199">
        <v>9.1</v>
      </c>
      <c r="E29" s="205">
        <v>0.4</v>
      </c>
      <c r="F29" s="49" t="s">
        <v>11</v>
      </c>
      <c r="G29" s="48">
        <v>0.7</v>
      </c>
      <c r="H29" s="49" t="s">
        <v>106</v>
      </c>
      <c r="I29" s="50">
        <v>32</v>
      </c>
      <c r="J29" s="193">
        <f>IF(G29=1, I29, SUMPRODUCT(I29:I31, G29:G31))</f>
        <v>42.5</v>
      </c>
      <c r="K29" s="193">
        <f>SUMIF(I29:I31, "&lt;&gt;", G29:G31) / SUMIF(G29:G31, "&lt;&gt;")</f>
        <v>1</v>
      </c>
      <c r="L29" s="193">
        <f>IFERROR(J29/K29, "No grades yet")</f>
        <v>42.5</v>
      </c>
      <c r="M29" s="193" t="str">
        <f>IFERROR(IF(K29 = 1, "Completed module", IF(((70 - J29) / (1 - K29)) &gt; 100, "Unattainable", IF(((70 - J29) / (1 - K29)) &lt; 0, "Already attained", ((70 - J29) / (1 - K29))))), "-")</f>
        <v>Completed module</v>
      </c>
      <c r="N29" s="193" t="str">
        <f>IFERROR(IF(K29 = 1, "Completed module", IF(((60 - J29) / (1 - K29)) &gt; 100, "Unattainable", IF(((60 - J29) / (1 - K29)) &lt; 0, "Already attained", ((60 - J29) / (1 - K29))))), "-")</f>
        <v>Completed module</v>
      </c>
      <c r="O29" s="166" t="str">
        <f>IFERROR(IF(K29 = 1, "Completed module", IF(((50 - J29) / (1 - K29)) &gt; 100, "Unattainable", IF(((50 - J29) / (1 - K29)) &lt; 0, "Already attained", ((50 - J29) / (1 - K29))))), "-")</f>
        <v>Completed module</v>
      </c>
      <c r="P29" s="189" t="str">
        <f>IFERROR(IF(K29 = 1, "Completed module", IF(((40 - J29) / (1 - K29)) &gt; 100, "Unattainable", IF(((40 - J29) / (1 - K29)) &lt; 0, "Already attained", ((40 - J29) / (1 - K29))))), "-")</f>
        <v>Completed module</v>
      </c>
    </row>
    <row r="30" spans="1:16" ht="15.75" customHeight="1" x14ac:dyDescent="0.25">
      <c r="A30" s="214"/>
      <c r="B30" s="217"/>
      <c r="C30" s="219"/>
      <c r="D30" s="219"/>
      <c r="E30" s="206"/>
      <c r="F30" s="45" t="s">
        <v>22</v>
      </c>
      <c r="G30" s="44">
        <v>0.15</v>
      </c>
      <c r="H30" s="45" t="s">
        <v>107</v>
      </c>
      <c r="I30" s="46">
        <v>80</v>
      </c>
      <c r="J30" s="194"/>
      <c r="K30" s="194"/>
      <c r="L30" s="194"/>
      <c r="M30" s="194"/>
      <c r="N30" s="194"/>
      <c r="O30" s="167"/>
      <c r="P30" s="191"/>
    </row>
    <row r="31" spans="1:16" ht="15.75" customHeight="1" thickBot="1" x14ac:dyDescent="0.3">
      <c r="A31" s="215"/>
      <c r="B31" s="218"/>
      <c r="C31" s="220"/>
      <c r="D31" s="220"/>
      <c r="E31" s="207"/>
      <c r="F31" s="54" t="s">
        <v>13</v>
      </c>
      <c r="G31" s="55">
        <v>0.15</v>
      </c>
      <c r="H31" s="54" t="s">
        <v>108</v>
      </c>
      <c r="I31" s="56">
        <v>54</v>
      </c>
      <c r="J31" s="195"/>
      <c r="K31" s="195"/>
      <c r="L31" s="195"/>
      <c r="M31" s="195"/>
      <c r="N31" s="195"/>
      <c r="O31" s="168"/>
      <c r="P31" s="190"/>
    </row>
    <row r="32" spans="1:16" ht="21" customHeight="1" thickTop="1" x14ac:dyDescent="0.25">
      <c r="A32" s="211" t="s">
        <v>109</v>
      </c>
      <c r="B32" s="196" t="s">
        <v>110</v>
      </c>
      <c r="C32" s="199">
        <v>5</v>
      </c>
      <c r="D32" s="199">
        <v>9.1</v>
      </c>
      <c r="E32" s="205">
        <v>0.4</v>
      </c>
      <c r="F32" s="49" t="s">
        <v>19</v>
      </c>
      <c r="G32" s="48">
        <v>0.6</v>
      </c>
      <c r="H32" s="49" t="s">
        <v>43</v>
      </c>
      <c r="I32" s="50">
        <v>38</v>
      </c>
      <c r="J32" s="193">
        <f>IF(G32=1, I32, SUMPRODUCT(I32:I33, G32:G33))</f>
        <v>62</v>
      </c>
      <c r="K32" s="193">
        <f>SUMIF(I32:I33, "&lt;&gt;", G32:G33) / SUMIF(G32:G33, "&lt;&gt;")</f>
        <v>1</v>
      </c>
      <c r="L32" s="193">
        <f>IFERROR(J32/K32, "No grades yet")</f>
        <v>62</v>
      </c>
      <c r="M32" s="193" t="str">
        <f>IFERROR(IF(K32 = 1, "Completed module", IF(((70 - J32) / (1 - K32)) &gt; 100, "Unattainable", IF(((70 - J32) / (1 - K32)) &lt; 0, "Already attained", ((70 - J32) / (1 - K32))))), "-")</f>
        <v>Completed module</v>
      </c>
      <c r="N32" s="193" t="str">
        <f>IFERROR(IF(K32 = 1, "Completed module", IF(((60 - J32) / (1 - K32)) &gt; 100, "Unattainable", IF(((60 - J32) / (1 - K32)) &lt; 0, "Already attained", ((60 - J32) / (1 - K32))))), "-")</f>
        <v>Completed module</v>
      </c>
      <c r="O32" s="166" t="str">
        <f>IFERROR(IF(K32 = 1, "Completed module", IF(((50 - J32) / (1 - K32)) &gt; 100, "Unattainable", IF(((50 - J32) / (1 - K32)) &lt; 0, "Already attained", ((50 - J32) / (1 - K32))))), "-")</f>
        <v>Completed module</v>
      </c>
      <c r="P32" s="189" t="str">
        <f>IFERROR(IF(K32 = 1, "Completed module", IF(((40 - J32) / (1 - K32)) &gt; 100, "Unattainable", IF(((40 - J32) / (1 - K32)) &lt; 0, "Already attained", ((40 - J32) / (1 - K32))))), "-")</f>
        <v>Completed module</v>
      </c>
    </row>
    <row r="33" spans="1:16" ht="16.2" customHeight="1" thickBot="1" x14ac:dyDescent="0.3">
      <c r="A33" s="215"/>
      <c r="B33" s="218"/>
      <c r="C33" s="220"/>
      <c r="D33" s="220"/>
      <c r="E33" s="207"/>
      <c r="F33" s="54" t="s">
        <v>15</v>
      </c>
      <c r="G33" s="55">
        <v>0.4</v>
      </c>
      <c r="H33" s="54" t="s">
        <v>111</v>
      </c>
      <c r="I33" s="56">
        <v>98</v>
      </c>
      <c r="J33" s="195"/>
      <c r="K33" s="195"/>
      <c r="L33" s="195"/>
      <c r="M33" s="195"/>
      <c r="N33" s="195"/>
      <c r="O33" s="168"/>
      <c r="P33" s="190"/>
    </row>
    <row r="34" spans="1:16" ht="39" customHeight="1" thickTop="1" thickBot="1" x14ac:dyDescent="0.3">
      <c r="A34" s="157" t="s">
        <v>112</v>
      </c>
      <c r="B34" s="158" t="s">
        <v>113</v>
      </c>
      <c r="C34" s="159">
        <v>5</v>
      </c>
      <c r="D34" s="159">
        <v>9.1</v>
      </c>
      <c r="E34" s="160">
        <v>0.4</v>
      </c>
      <c r="F34" s="161" t="s">
        <v>19</v>
      </c>
      <c r="G34" s="162">
        <v>1</v>
      </c>
      <c r="H34" s="161" t="s">
        <v>43</v>
      </c>
      <c r="I34" s="163"/>
      <c r="J34" s="164">
        <f>IF(G34=1, I34, SUMPRODUCT(I34:I34, G34:G34))</f>
        <v>0</v>
      </c>
      <c r="K34" s="164">
        <f>SUMIF(I34:I34, "&lt;&gt;", G34:G34) / SUMIF(G34:G34, "&lt;&gt;")</f>
        <v>0</v>
      </c>
      <c r="L34" s="164" t="str">
        <f>IFERROR(J34/K34, "No grades yet")</f>
        <v>No grades yet</v>
      </c>
      <c r="M34" s="164">
        <f>IFERROR(IF(K34 = 1, "Completed module", IF(((70 - J34) / (1 - K34)) &gt; 100, "Unattainable", IF(((70 - J34) / (1 - K34)) &lt; 0, "Already attained", ((70 - J34) / (1 - K34))))), "-")</f>
        <v>70</v>
      </c>
      <c r="N34" s="164">
        <f>IFERROR(IF(K34 = 1, "Completed module", IF(((60 - J34) / (1 - K34)) &gt; 100, "Unattainable", IF(((60 - J34) / (1 - K34)) &lt; 0, "Already attained", ((60 - J34) / (1 - K34))))), "-")</f>
        <v>60</v>
      </c>
      <c r="O34" s="94">
        <f>IFERROR(IF(K34 = 1, "Completed module", IF(((50 - J34) / (1 - K34)) &gt; 100, "Unattainable", IF(((50 - J34) / (1 - K34)) &lt; 0, "Already attained", ((50 - J34) / (1 - K34))))), "-")</f>
        <v>50</v>
      </c>
      <c r="P34" s="95">
        <f>IFERROR(IF(K34 = 1, "Completed module", IF(((40 - J34) / (1 - K34)) &gt; 100, "Unattainable", IF(((40 - J34) / (1 - K34)) &lt; 0, "Already attained", ((40 - J34) / (1 - K34))))), "-")</f>
        <v>40</v>
      </c>
    </row>
    <row r="35" spans="1:16" ht="15.75" customHeight="1" thickTop="1" x14ac:dyDescent="0.25">
      <c r="A35" s="211" t="s">
        <v>114</v>
      </c>
      <c r="B35" s="196" t="s">
        <v>115</v>
      </c>
      <c r="C35" s="199">
        <v>5</v>
      </c>
      <c r="D35" s="199">
        <v>9.1</v>
      </c>
      <c r="E35" s="205">
        <v>0.5</v>
      </c>
      <c r="F35" s="49" t="s">
        <v>13</v>
      </c>
      <c r="G35" s="48">
        <v>0.2</v>
      </c>
      <c r="H35" s="49" t="s">
        <v>116</v>
      </c>
      <c r="I35" s="50"/>
      <c r="J35" s="193">
        <f>IF(G35=1, I35, SUMPRODUCT(I35:I36, G35:G36))</f>
        <v>0</v>
      </c>
      <c r="K35" s="193">
        <f>SUMIF(I35:I36, "&lt;&gt;", G35:G36) / SUMIF(G35:G36, "&lt;&gt;")</f>
        <v>0</v>
      </c>
      <c r="L35" s="193" t="str">
        <f>IFERROR(J35/K35, "No grades yet")</f>
        <v>No grades yet</v>
      </c>
      <c r="M35" s="193">
        <f>IFERROR(IF(K35 = 1, "Completed module", IF(((70 - J35) / (1 - K35)) &gt; 100, "Unattainable", IF(((70 - J35) / (1 - K35)) &lt; 0, "Already attained", ((70 - J35) / (1 - K35))))), "-")</f>
        <v>70</v>
      </c>
      <c r="N35" s="193">
        <f>IFERROR(IF(K35 = 1, "Completed module", IF(((60 - J35) / (1 - K35)) &gt; 100, "Unattainable", IF(((60 - J35) / (1 - K35)) &lt; 0, "Already attained", ((60 - J35) / (1 - K35))))), "-")</f>
        <v>60</v>
      </c>
      <c r="O35" s="166">
        <f>IFERROR(IF(K35 = 1, "Completed module", IF(((50 - J35) / (1 - K35)) &gt; 100, "Unattainable", IF(((50 - J35) / (1 - K35)) &lt; 0, "Already attained", ((50 - J35) / (1 - K35))))), "-")</f>
        <v>50</v>
      </c>
      <c r="P35" s="189">
        <f>IFERROR(IF(K35 = 1, "Completed module", IF(((40 - J35) / (1 - K35)) &gt; 100, "Unattainable", IF(((40 - J35) / (1 - K35)) &lt; 0, "Already attained", ((40 - J35) / (1 - K35))))), "-")</f>
        <v>40</v>
      </c>
    </row>
    <row r="36" spans="1:16" ht="15.75" customHeight="1" thickBot="1" x14ac:dyDescent="0.3">
      <c r="A36" s="215"/>
      <c r="B36" s="218"/>
      <c r="C36" s="220"/>
      <c r="D36" s="220"/>
      <c r="E36" s="207"/>
      <c r="F36" s="54" t="s">
        <v>15</v>
      </c>
      <c r="G36" s="55">
        <v>0.8</v>
      </c>
      <c r="H36" s="54" t="s">
        <v>117</v>
      </c>
      <c r="I36" s="56"/>
      <c r="J36" s="195"/>
      <c r="K36" s="195"/>
      <c r="L36" s="195"/>
      <c r="M36" s="195"/>
      <c r="N36" s="195"/>
      <c r="O36" s="168"/>
      <c r="P36" s="190"/>
    </row>
    <row r="37" spans="1:16" ht="15.75" customHeight="1" thickTop="1" x14ac:dyDescent="0.25">
      <c r="A37" s="211" t="s">
        <v>118</v>
      </c>
      <c r="B37" s="196" t="s">
        <v>119</v>
      </c>
      <c r="C37" s="199">
        <v>5</v>
      </c>
      <c r="D37" s="199">
        <v>9.1</v>
      </c>
      <c r="E37" s="205">
        <v>0.5</v>
      </c>
      <c r="F37" s="49" t="s">
        <v>19</v>
      </c>
      <c r="G37" s="48">
        <v>0.7</v>
      </c>
      <c r="H37" s="49" t="s">
        <v>43</v>
      </c>
      <c r="I37" s="50"/>
      <c r="J37" s="193">
        <f>IF(G37=1, I37, SUMPRODUCT(I37:I38, G37:G38))</f>
        <v>0</v>
      </c>
      <c r="K37" s="193">
        <f>SUMIF(I37:I38, "&lt;&gt;", G37:G38) / SUMIF(G37:G38, "&lt;&gt;")</f>
        <v>0</v>
      </c>
      <c r="L37" s="193" t="str">
        <f>IFERROR(J37/K37, "No grades yet")</f>
        <v>No grades yet</v>
      </c>
      <c r="M37" s="193">
        <f>IFERROR(IF(K37 = 1, "Completed module", IF(((70 - J37) / (1 - K37)) &gt; 100, "Unattainable", IF(((70 - J37) / (1 - K37)) &lt; 0, "Already attained", ((70 - J37) / (1 - K37))))), "-")</f>
        <v>70</v>
      </c>
      <c r="N37" s="193">
        <f>IFERROR(IF(K37 = 1, "Completed module", IF(((60 - J37) / (1 - K37)) &gt; 100, "Unattainable", IF(((60 - J37) / (1 - K37)) &lt; 0, "Already attained", ((60 - J37) / (1 - K37))))), "-")</f>
        <v>60</v>
      </c>
      <c r="O37" s="166">
        <f>IFERROR(IF(K37 = 1, "Completed module", IF(((50 - J37) / (1 - K37)) &gt; 100, "Unattainable", IF(((50 - J37) / (1 - K37)) &lt; 0, "Already attained", ((50 - J37) / (1 - K37))))), "-")</f>
        <v>50</v>
      </c>
      <c r="P37" s="189">
        <f>IFERROR(IF(K37 = 1, "Completed module", IF(((40 - J37) / (1 - K37)) &gt; 100, "Unattainable", IF(((40 - J37) / (1 - K37)) &lt; 0, "Already attained", ((40 - J37) / (1 - K37))))), "-")</f>
        <v>40</v>
      </c>
    </row>
    <row r="38" spans="1:16" ht="15.75" customHeight="1" thickBot="1" x14ac:dyDescent="0.3">
      <c r="A38" s="215"/>
      <c r="B38" s="218"/>
      <c r="C38" s="220"/>
      <c r="D38" s="220"/>
      <c r="E38" s="207"/>
      <c r="F38" s="54" t="s">
        <v>13</v>
      </c>
      <c r="G38" s="55">
        <v>0.3</v>
      </c>
      <c r="H38" s="54" t="s">
        <v>120</v>
      </c>
      <c r="I38" s="56"/>
      <c r="J38" s="195"/>
      <c r="K38" s="195"/>
      <c r="L38" s="195"/>
      <c r="M38" s="195"/>
      <c r="N38" s="195"/>
      <c r="O38" s="168"/>
      <c r="P38" s="190"/>
    </row>
    <row r="39" spans="1:16" ht="15.75" customHeight="1" thickTop="1" x14ac:dyDescent="0.25">
      <c r="A39" s="211" t="s">
        <v>121</v>
      </c>
      <c r="B39" s="196" t="s">
        <v>122</v>
      </c>
      <c r="C39" s="199">
        <v>5</v>
      </c>
      <c r="D39" s="199">
        <v>9.1</v>
      </c>
      <c r="E39" s="205">
        <v>0.5</v>
      </c>
      <c r="F39" s="49" t="s">
        <v>11</v>
      </c>
      <c r="G39" s="48">
        <v>0.3</v>
      </c>
      <c r="H39" s="49" t="s">
        <v>123</v>
      </c>
      <c r="I39" s="50"/>
      <c r="J39" s="193">
        <f>IF(G39=1, I39, SUMPRODUCT(I39:I42, G39:G42))</f>
        <v>0</v>
      </c>
      <c r="K39" s="193">
        <f>SUMIF(I39:I42, "&lt;&gt;", G39:G42) / SUMIF(G39:G42, "&lt;&gt;")</f>
        <v>0</v>
      </c>
      <c r="L39" s="193" t="str">
        <f>IFERROR(J39/K39, "No grades yet")</f>
        <v>No grades yet</v>
      </c>
      <c r="M39" s="193">
        <f>IFERROR(IF(K39 = 1, "Completed module", IF(((70 - J39) / (1 - K39)) &gt; 100, "Unattainable", IF(((70 - J39) / (1 - K39)) &lt; 0, "Already attained", ((70 - J39) / (1 - K39))))), "-")</f>
        <v>70</v>
      </c>
      <c r="N39" s="193">
        <f>IFERROR(IF(K39 = 1, "Completed module", IF(((60 - J39) / (1 - K39)) &gt; 100, "Unattainable", IF(((60 - J39) / (1 - K39)) &lt; 0, "Already attained", ((60 - J39) / (1 - K39))))), "-")</f>
        <v>60</v>
      </c>
      <c r="O39" s="166">
        <f>IFERROR(IF(K39 = 1, "Completed module", IF(((50 - J39) / (1 - K39)) &gt; 100, "Unattainable", IF(((50 - J39) / (1 - K39)) &lt; 0, "Already attained", ((50 - J39) / (1 - K39))))), "-")</f>
        <v>50</v>
      </c>
      <c r="P39" s="189">
        <f>IFERROR(IF(K39 = 1, "Completed module", IF(((40 - J39) / (1 - K39)) &gt; 100, "Unattainable", IF(((40 - J39) / (1 - K39)) &lt; 0, "Already attained", ((40 - J39) / (1 - K39))))), "-")</f>
        <v>40</v>
      </c>
    </row>
    <row r="40" spans="1:16" ht="15.75" customHeight="1" x14ac:dyDescent="0.25">
      <c r="A40" s="214"/>
      <c r="B40" s="217"/>
      <c r="C40" s="219"/>
      <c r="D40" s="219"/>
      <c r="E40" s="206"/>
      <c r="F40" s="45" t="s">
        <v>73</v>
      </c>
      <c r="G40" s="44">
        <v>0.2</v>
      </c>
      <c r="H40" s="45" t="s">
        <v>124</v>
      </c>
      <c r="I40" s="46"/>
      <c r="J40" s="194"/>
      <c r="K40" s="194"/>
      <c r="L40" s="194"/>
      <c r="M40" s="194"/>
      <c r="N40" s="194"/>
      <c r="O40" s="167"/>
      <c r="P40" s="191"/>
    </row>
    <row r="41" spans="1:16" ht="15.75" customHeight="1" x14ac:dyDescent="0.25">
      <c r="A41" s="214"/>
      <c r="B41" s="217"/>
      <c r="C41" s="219"/>
      <c r="D41" s="219"/>
      <c r="E41" s="206"/>
      <c r="F41" s="45" t="s">
        <v>13</v>
      </c>
      <c r="G41" s="44">
        <v>0.3</v>
      </c>
      <c r="H41" s="45" t="s">
        <v>125</v>
      </c>
      <c r="I41" s="46"/>
      <c r="J41" s="194"/>
      <c r="K41" s="194"/>
      <c r="L41" s="194"/>
      <c r="M41" s="194"/>
      <c r="N41" s="194"/>
      <c r="O41" s="167"/>
      <c r="P41" s="191"/>
    </row>
    <row r="42" spans="1:16" ht="15.75" customHeight="1" thickBot="1" x14ac:dyDescent="0.3">
      <c r="A42" s="215"/>
      <c r="B42" s="218"/>
      <c r="C42" s="220"/>
      <c r="D42" s="220"/>
      <c r="E42" s="207"/>
      <c r="F42" s="54" t="s">
        <v>11</v>
      </c>
      <c r="G42" s="55">
        <v>0.2</v>
      </c>
      <c r="H42" s="54" t="s">
        <v>126</v>
      </c>
      <c r="I42" s="56"/>
      <c r="J42" s="195"/>
      <c r="K42" s="195"/>
      <c r="L42" s="195"/>
      <c r="M42" s="195"/>
      <c r="N42" s="195"/>
      <c r="O42" s="168"/>
      <c r="P42" s="190"/>
    </row>
    <row r="43" spans="1:16" ht="34.799999999999997" customHeight="1" thickTop="1" thickBot="1" x14ac:dyDescent="0.3">
      <c r="A43" s="157" t="s">
        <v>127</v>
      </c>
      <c r="B43" s="158" t="s">
        <v>128</v>
      </c>
      <c r="C43" s="159">
        <v>5</v>
      </c>
      <c r="D43" s="159">
        <v>9.1</v>
      </c>
      <c r="E43" s="160">
        <v>0.5</v>
      </c>
      <c r="F43" s="161" t="s">
        <v>19</v>
      </c>
      <c r="G43" s="162">
        <v>1</v>
      </c>
      <c r="H43" s="161" t="s">
        <v>43</v>
      </c>
      <c r="I43" s="163"/>
      <c r="J43" s="164">
        <f>IF(G43=1, I43, SUMPRODUCT(I43:I43, G43:G43))</f>
        <v>0</v>
      </c>
      <c r="K43" s="164">
        <f>SUMIF(I43:I43, "&lt;&gt;", G43:G43) / SUMIF(G43:G43, "&lt;&gt;")</f>
        <v>0</v>
      </c>
      <c r="L43" s="164" t="str">
        <f>IFERROR(J43/K43, "No grades yet")</f>
        <v>No grades yet</v>
      </c>
      <c r="M43" s="164">
        <f>IFERROR(IF(K43 = 1, "Completed module", IF(((70 - J43) / (1 - K43)) &gt; 100, "Unattainable", IF(((70 - J43) / (1 - K43)) &lt; 0, "Already attained", ((70 - J43) / (1 - K43))))), "-")</f>
        <v>70</v>
      </c>
      <c r="N43" s="164">
        <f>IFERROR(IF(K43 = 1, "Completed module", IF(((60 - J43) / (1 - K43)) &gt; 100, "Unattainable", IF(((60 - J43) / (1 - K43)) &lt; 0, "Already attained", ((60 - J43) / (1 - K43))))), "-")</f>
        <v>60</v>
      </c>
      <c r="O43" s="94">
        <f>IFERROR(IF(K43 = 1, "Completed module", IF(((50 - J43) / (1 - K43)) &gt; 100, "Unattainable", IF(((50 - J43) / (1 - K43)) &lt; 0, "Already attained", ((50 - J43) / (1 - K43))))), "-")</f>
        <v>50</v>
      </c>
      <c r="P43" s="95">
        <f>IFERROR(IF(K43 = 1, "Completed module", IF(((40 - J43) / (1 - K43)) &gt; 100, "Unattainable", IF(((40 - J43) / (1 - K43)) &lt; 0, "Already attained", ((40 - J43) / (1 - K43))))), "-")</f>
        <v>40</v>
      </c>
    </row>
    <row r="44" spans="1:16" ht="15.75" customHeight="1" thickTop="1" x14ac:dyDescent="0.25">
      <c r="A44" s="211" t="s">
        <v>129</v>
      </c>
      <c r="B44" s="196" t="s">
        <v>130</v>
      </c>
      <c r="C44" s="199">
        <v>5</v>
      </c>
      <c r="D44" s="199">
        <v>9.1</v>
      </c>
      <c r="E44" s="205">
        <v>0.5</v>
      </c>
      <c r="F44" s="49" t="s">
        <v>19</v>
      </c>
      <c r="G44" s="48">
        <v>0.8</v>
      </c>
      <c r="H44" s="49" t="s">
        <v>43</v>
      </c>
      <c r="I44" s="50"/>
      <c r="J44" s="193">
        <f>IF(G44=1, I44, SUMPRODUCT(I44:I45, G44:G45))</f>
        <v>0</v>
      </c>
      <c r="K44" s="193">
        <f>SUMIF(I44:I45, "&lt;&gt;", G44:G45) / SUMIF(G44:G45, "&lt;&gt;")</f>
        <v>0</v>
      </c>
      <c r="L44" s="193" t="str">
        <f>IFERROR(J44/K44, "No grades yet")</f>
        <v>No grades yet</v>
      </c>
      <c r="M44" s="193">
        <f>IFERROR(IF(K44 = 1, "Completed module", IF(((70 - J44) / (1 - K44)) &gt; 100, "Unattainable", IF(((70 - J44) / (1 - K44)) &lt; 0, "Already attained", ((70 - J44) / (1 - K44))))), "-")</f>
        <v>70</v>
      </c>
      <c r="N44" s="193">
        <f>IFERROR(IF(K44 = 1, "Completed module", IF(((60 - J44) / (1 - K44)) &gt; 100, "Unattainable", IF(((60 - J44) / (1 - K44)) &lt; 0, "Already attained", ((60 - J44) / (1 - K44))))), "-")</f>
        <v>60</v>
      </c>
      <c r="O44" s="166">
        <f>IFERROR(IF(K44 = 1, "Completed module", IF(((50 - J44) / (1 - K44)) &gt; 100, "Unattainable", IF(((50 - J44) / (1 - K44)) &lt; 0, "Already attained", ((50 - J44) / (1 - K44))))), "-")</f>
        <v>50</v>
      </c>
      <c r="P44" s="189">
        <f>IFERROR(IF(K44 = 1, "Completed module", IF(((40 - J44) / (1 - K44)) &gt; 100, "Unattainable", IF(((40 - J44) / (1 - K44)) &lt; 0, "Already attained", ((40 - J44) / (1 - K44))))), "-")</f>
        <v>40</v>
      </c>
    </row>
    <row r="45" spans="1:16" ht="15.75" customHeight="1" thickBot="1" x14ac:dyDescent="0.3">
      <c r="A45" s="215"/>
      <c r="B45" s="218"/>
      <c r="C45" s="220"/>
      <c r="D45" s="220"/>
      <c r="E45" s="207"/>
      <c r="F45" s="54" t="s">
        <v>11</v>
      </c>
      <c r="G45" s="55">
        <v>0.2</v>
      </c>
      <c r="H45" s="54" t="s">
        <v>131</v>
      </c>
      <c r="I45" s="56"/>
      <c r="J45" s="195"/>
      <c r="K45" s="195"/>
      <c r="L45" s="195"/>
      <c r="M45" s="195"/>
      <c r="N45" s="195"/>
      <c r="O45" s="168"/>
      <c r="P45" s="190"/>
    </row>
    <row r="46" spans="1:16" ht="28.8" customHeight="1" thickTop="1" thickBot="1" x14ac:dyDescent="0.3">
      <c r="A46" s="157" t="s">
        <v>132</v>
      </c>
      <c r="B46" s="158" t="s">
        <v>133</v>
      </c>
      <c r="C46" s="159">
        <v>5</v>
      </c>
      <c r="D46" s="159">
        <v>9.1</v>
      </c>
      <c r="E46" s="160">
        <v>0.4</v>
      </c>
      <c r="F46" s="162" t="s">
        <v>134</v>
      </c>
      <c r="G46" s="161" t="s">
        <v>92</v>
      </c>
      <c r="H46" s="162" t="s">
        <v>92</v>
      </c>
      <c r="I46" s="163"/>
      <c r="J46" s="164" t="e">
        <f>IF(G46=1, I46, SUMPRODUCT(I46:I46, G46:G46))</f>
        <v>#VALUE!</v>
      </c>
      <c r="K46" s="164" t="e">
        <f>SUMIF(I46:I46, "&lt;&gt;", G46:G46) / SUMIF(G46:G46, "&lt;&gt;")</f>
        <v>#DIV/0!</v>
      </c>
      <c r="L46" s="164" t="str">
        <f>IFERROR(J46/K46, "No grades yet")</f>
        <v>No grades yet</v>
      </c>
      <c r="M46" s="164" t="str">
        <f>IFERROR(IF(K46 = 1, "Completed module", IF(((70 - J46) / (1 - K46)) &gt; 100, "Unattainable", IF(((70 - J46) / (1 - K46)) &lt; 0, "Already attained", ((70 - J46) / (1 - K46))))), "-")</f>
        <v>-</v>
      </c>
      <c r="N46" s="164" t="str">
        <f>IFERROR(IF(K46 = 1, "Completed module", IF(((60 - J46) / (1 - K46)) &gt; 100, "Unattainable", IF(((60 - J46) / (1 - K46)) &lt; 0, "Already attained", ((60 - J46) / (1 - K46))))), "-")</f>
        <v>-</v>
      </c>
      <c r="O46" s="94" t="str">
        <f>IFERROR(IF(K46 = 1, "Completed module", IF(((50 - J46) / (1 - K46)) &gt; 100, "Unattainable", IF(((50 - J46) / (1 - K46)) &lt; 0, "Already attained", ((50 - J46) / (1 - K46))))), "-")</f>
        <v>-</v>
      </c>
      <c r="P46" s="95" t="str">
        <f>IFERROR(IF(K46 = 1, "Completed module", IF(((40 - J46) / (1 - K46)) &gt; 100, "Unattainable", IF(((40 - J46) / (1 - K46)) &lt; 0, "Already attained", ((40 - J46) / (1 - K46))))), "-")</f>
        <v>-</v>
      </c>
    </row>
    <row r="47" spans="1:16" ht="15.75" customHeight="1" thickTop="1" thickBot="1" x14ac:dyDescent="0.3">
      <c r="A47" s="157" t="s">
        <v>135</v>
      </c>
      <c r="B47" s="158" t="s">
        <v>136</v>
      </c>
      <c r="C47" s="159">
        <v>5</v>
      </c>
      <c r="D47" s="159">
        <v>9.1</v>
      </c>
      <c r="E47" s="160">
        <v>0.4</v>
      </c>
      <c r="F47" s="161" t="s">
        <v>134</v>
      </c>
      <c r="G47" s="162" t="s">
        <v>92</v>
      </c>
      <c r="H47" s="161" t="s">
        <v>92</v>
      </c>
      <c r="I47" s="163"/>
      <c r="J47" s="164" t="e">
        <f>IF(G47=1, I47, SUMPRODUCT(I47:I47, G47:G47))</f>
        <v>#VALUE!</v>
      </c>
      <c r="K47" s="164" t="e">
        <f>SUMIF(I47:I47, "&lt;&gt;", G47:G47) / SUMIF(G47:G47, "&lt;&gt;")</f>
        <v>#DIV/0!</v>
      </c>
      <c r="L47" s="164" t="str">
        <f>IFERROR(J47/K47, "No grades yet")</f>
        <v>No grades yet</v>
      </c>
      <c r="M47" s="164" t="str">
        <f>IFERROR(IF(K47 = 1, "Completed module", IF(((70 - J47) / (1 - K47)) &gt; 100, "Unattainable", IF(((70 - J47) / (1 - K47)) &lt; 0, "Already attained", ((70 - J47) / (1 - K47))))), "-")</f>
        <v>-</v>
      </c>
      <c r="N47" s="164" t="str">
        <f>IFERROR(IF(K47 = 1, "Completed module", IF(((60 - J47) / (1 - K47)) &gt; 100, "Unattainable", IF(((60 - J47) / (1 - K47)) &lt; 0, "Already attained", ((60 - J47) / (1 - K47))))), "-")</f>
        <v>-</v>
      </c>
      <c r="O47" s="94" t="str">
        <f>IFERROR(IF(K47 = 1, "Completed module", IF(((50 - J47) / (1 - K47)) &gt; 100, "Unattainable", IF(((50 - J47) / (1 - K47)) &lt; 0, "Already attained", ((50 - J47) / (1 - K47))))), "-")</f>
        <v>-</v>
      </c>
      <c r="P47" s="95" t="str">
        <f>IFERROR(IF(K47 = 1, "Completed module", IF(((40 - J47) / (1 - K47)) &gt; 100, "Unattainable", IF(((40 - J47) / (1 - K47)) &lt; 0, "Already attained", ((40 - J47) / (1 - K47))))), "-")</f>
        <v>-</v>
      </c>
    </row>
    <row r="48" spans="1:16" ht="15.75" customHeight="1" thickTop="1" thickBot="1" x14ac:dyDescent="0.3">
      <c r="A48" s="156" t="s">
        <v>137</v>
      </c>
      <c r="B48" s="155" t="s">
        <v>138</v>
      </c>
      <c r="C48" s="150">
        <v>5</v>
      </c>
      <c r="D48" s="150">
        <v>9.1</v>
      </c>
      <c r="E48" s="151">
        <v>0.4</v>
      </c>
      <c r="F48" s="149" t="s">
        <v>134</v>
      </c>
      <c r="G48" s="152" t="s">
        <v>92</v>
      </c>
      <c r="H48" s="149" t="s">
        <v>92</v>
      </c>
      <c r="I48" s="153"/>
      <c r="J48" s="154" t="e">
        <f>IF(G48=1, I48, SUMPRODUCT(I48:I48, G48:G48))</f>
        <v>#VALUE!</v>
      </c>
      <c r="K48" s="154" t="e">
        <f>SUMIF(I48:I48, "&lt;&gt;", G48:G48) / SUMIF(G48:G48, "&lt;&gt;")</f>
        <v>#DIV/0!</v>
      </c>
      <c r="L48" s="154" t="str">
        <f>IFERROR(J48/K48, "No grades yet")</f>
        <v>No grades yet</v>
      </c>
      <c r="M48" s="154" t="str">
        <f>IFERROR(IF(K48 = 1, "Completed module", IF(((70 - J48) / (1 - K48)) &gt; 100, "Unattainable", IF(((70 - J48) / (1 - K48)) &lt; 0, "Already attained", ((70 - J48) / (1 - K48))))), "-")</f>
        <v>-</v>
      </c>
      <c r="N48" s="154" t="str">
        <f>IFERROR(IF(K48 = 1, "Completed module", IF(((60 - J48) / (1 - K48)) &gt; 100, "Unattainable", IF(((60 - J48) / (1 - K48)) &lt; 0, "Already attained", ((60 - J48) / (1 - K48))))), "-")</f>
        <v>-</v>
      </c>
      <c r="O48" s="83" t="str">
        <f>IFERROR(IF(K48 = 1, "Completed module", IF(((50 - J48) / (1 - K48)) &gt; 100, "Unattainable", IF(((50 - J48) / (1 - K48)) &lt; 0, "Already attained", ((50 - J48) / (1 - K48))))), "-")</f>
        <v>-</v>
      </c>
      <c r="P48" s="84" t="str">
        <f>IFERROR(IF(K48 = 1, "Completed module", IF(((40 - J48) / (1 - K48)) &gt; 100, "Unattainable", IF(((40 - J48) / (1 - K48)) &lt; 0, "Already attained", ((40 - J48) / (1 - K48))))), "-")</f>
        <v>-</v>
      </c>
    </row>
    <row r="49" ht="15.75" customHeight="1" thickTop="1" x14ac:dyDescent="0.25"/>
  </sheetData>
  <mergeCells count="159">
    <mergeCell ref="M32:M33"/>
    <mergeCell ref="N32:N33"/>
    <mergeCell ref="D32:D33"/>
    <mergeCell ref="E32:E33"/>
    <mergeCell ref="J32:J33"/>
    <mergeCell ref="K32:K33"/>
    <mergeCell ref="L32:L33"/>
    <mergeCell ref="J44:J45"/>
    <mergeCell ref="K44:K45"/>
    <mergeCell ref="L44:L45"/>
    <mergeCell ref="M44:M45"/>
    <mergeCell ref="N44:N45"/>
    <mergeCell ref="D37:D38"/>
    <mergeCell ref="E37:E38"/>
    <mergeCell ref="N37:N38"/>
    <mergeCell ref="N39:N42"/>
    <mergeCell ref="N35:N36"/>
    <mergeCell ref="J37:J38"/>
    <mergeCell ref="K37:K38"/>
    <mergeCell ref="L37:L38"/>
    <mergeCell ref="M37:M38"/>
    <mergeCell ref="K35:K36"/>
    <mergeCell ref="L35:L36"/>
    <mergeCell ref="M35:M36"/>
    <mergeCell ref="B29:B31"/>
    <mergeCell ref="C29:C31"/>
    <mergeCell ref="D29:D31"/>
    <mergeCell ref="E29:E31"/>
    <mergeCell ref="J29:J31"/>
    <mergeCell ref="K29:K31"/>
    <mergeCell ref="L29:L31"/>
    <mergeCell ref="M29:M31"/>
    <mergeCell ref="N29:N31"/>
    <mergeCell ref="N23:N26"/>
    <mergeCell ref="A32:A33"/>
    <mergeCell ref="B32:B33"/>
    <mergeCell ref="C32:C33"/>
    <mergeCell ref="A27:A28"/>
    <mergeCell ref="D23:D26"/>
    <mergeCell ref="E23:E26"/>
    <mergeCell ref="B27:B28"/>
    <mergeCell ref="C27:C28"/>
    <mergeCell ref="D27:D28"/>
    <mergeCell ref="A23:A26"/>
    <mergeCell ref="B23:B26"/>
    <mergeCell ref="C23:C26"/>
    <mergeCell ref="J23:J26"/>
    <mergeCell ref="K23:K26"/>
    <mergeCell ref="L23:L26"/>
    <mergeCell ref="M23:M26"/>
    <mergeCell ref="E27:E28"/>
    <mergeCell ref="J27:J28"/>
    <mergeCell ref="K27:K28"/>
    <mergeCell ref="L27:L28"/>
    <mergeCell ref="M27:M28"/>
    <mergeCell ref="N27:N28"/>
    <mergeCell ref="A29:A31"/>
    <mergeCell ref="A11:A12"/>
    <mergeCell ref="E13:E15"/>
    <mergeCell ref="J16:J17"/>
    <mergeCell ref="K16:K17"/>
    <mergeCell ref="L16:L17"/>
    <mergeCell ref="A16:A17"/>
    <mergeCell ref="B16:B17"/>
    <mergeCell ref="C16:C17"/>
    <mergeCell ref="D16:D17"/>
    <mergeCell ref="E16:E17"/>
    <mergeCell ref="F3:H3"/>
    <mergeCell ref="A13:A15"/>
    <mergeCell ref="M11:M12"/>
    <mergeCell ref="N11:N12"/>
    <mergeCell ref="E11:E12"/>
    <mergeCell ref="B11:B12"/>
    <mergeCell ref="C11:C12"/>
    <mergeCell ref="J11:J12"/>
    <mergeCell ref="K11:K12"/>
    <mergeCell ref="L11:L12"/>
    <mergeCell ref="B13:B15"/>
    <mergeCell ref="C13:C15"/>
    <mergeCell ref="J13:J15"/>
    <mergeCell ref="K13:K15"/>
    <mergeCell ref="L13:L15"/>
    <mergeCell ref="M13:M15"/>
    <mergeCell ref="N13:N15"/>
    <mergeCell ref="D13:D15"/>
    <mergeCell ref="C9:C10"/>
    <mergeCell ref="B9:B10"/>
    <mergeCell ref="E9:E10"/>
    <mergeCell ref="D9:D10"/>
    <mergeCell ref="A9:A10"/>
    <mergeCell ref="D11:D12"/>
    <mergeCell ref="A44:A45"/>
    <mergeCell ref="B44:B45"/>
    <mergeCell ref="C44:C45"/>
    <mergeCell ref="D44:D45"/>
    <mergeCell ref="E44:E45"/>
    <mergeCell ref="F22:H22"/>
    <mergeCell ref="M4:M8"/>
    <mergeCell ref="N4:N8"/>
    <mergeCell ref="J9:J10"/>
    <mergeCell ref="K9:K10"/>
    <mergeCell ref="L9:L10"/>
    <mergeCell ref="M9:M10"/>
    <mergeCell ref="N9:N10"/>
    <mergeCell ref="J4:J8"/>
    <mergeCell ref="K4:K8"/>
    <mergeCell ref="L4:L8"/>
    <mergeCell ref="M16:M17"/>
    <mergeCell ref="N16:N17"/>
    <mergeCell ref="A4:A8"/>
    <mergeCell ref="B4:B8"/>
    <mergeCell ref="C4:C8"/>
    <mergeCell ref="D4:D8"/>
    <mergeCell ref="E4:E8"/>
    <mergeCell ref="A20:B20"/>
    <mergeCell ref="A39:A42"/>
    <mergeCell ref="B39:B42"/>
    <mergeCell ref="C39:C42"/>
    <mergeCell ref="D39:D42"/>
    <mergeCell ref="E39:E42"/>
    <mergeCell ref="J39:J42"/>
    <mergeCell ref="K39:K42"/>
    <mergeCell ref="L39:L42"/>
    <mergeCell ref="M39:M42"/>
    <mergeCell ref="A37:A38"/>
    <mergeCell ref="B37:B38"/>
    <mergeCell ref="C37:C38"/>
    <mergeCell ref="A35:A36"/>
    <mergeCell ref="B35:B36"/>
    <mergeCell ref="C35:C36"/>
    <mergeCell ref="D35:D36"/>
    <mergeCell ref="E35:E36"/>
    <mergeCell ref="J35:J36"/>
    <mergeCell ref="O11:O12"/>
    <mergeCell ref="P11:P12"/>
    <mergeCell ref="O13:O15"/>
    <mergeCell ref="P13:P15"/>
    <mergeCell ref="O16:O17"/>
    <mergeCell ref="P16:P17"/>
    <mergeCell ref="O23:O26"/>
    <mergeCell ref="P23:P26"/>
    <mergeCell ref="O4:O8"/>
    <mergeCell ref="P4:P8"/>
    <mergeCell ref="O9:O10"/>
    <mergeCell ref="P9:P10"/>
    <mergeCell ref="O39:O42"/>
    <mergeCell ref="P39:P42"/>
    <mergeCell ref="O44:O45"/>
    <mergeCell ref="P44:P45"/>
    <mergeCell ref="O27:O28"/>
    <mergeCell ref="P27:P28"/>
    <mergeCell ref="O29:O31"/>
    <mergeCell ref="P29:P31"/>
    <mergeCell ref="O32:O33"/>
    <mergeCell ref="P32:P33"/>
    <mergeCell ref="O35:O36"/>
    <mergeCell ref="P35:P36"/>
    <mergeCell ref="O37:O38"/>
    <mergeCell ref="P37:P38"/>
  </mergeCells>
  <conditionalFormatting sqref="M46">
    <cfRule type="cellIs" dxfId="1088" priority="45" operator="between">
      <formula>70</formula>
      <formula>60</formula>
    </cfRule>
    <cfRule type="cellIs" dxfId="1087" priority="52" operator="between">
      <formula>60</formula>
      <formula>50</formula>
    </cfRule>
    <cfRule type="cellIs" dxfId="1086" priority="53" operator="between">
      <formula>40</formula>
      <formula>50</formula>
    </cfRule>
    <cfRule type="cellIs" dxfId="1085" priority="102" operator="lessThan">
      <formula>40</formula>
    </cfRule>
  </conditionalFormatting>
  <conditionalFormatting sqref="I4:I8">
    <cfRule type="expression" dxfId="1084" priority="103" stopIfTrue="1">
      <formula>ISBLANK(I4)</formula>
    </cfRule>
    <cfRule type="cellIs" dxfId="1083" priority="104" stopIfTrue="1" operator="equal">
      <formula>"No grades yet"</formula>
    </cfRule>
    <cfRule type="cellIs" dxfId="1082" priority="105" stopIfTrue="1" operator="greaterThanOrEqual">
      <formula>70</formula>
    </cfRule>
    <cfRule type="cellIs" dxfId="1081" priority="106" stopIfTrue="1" operator="between">
      <formula>60</formula>
      <formula>69.999</formula>
    </cfRule>
    <cfRule type="cellIs" dxfId="1080" priority="107" stopIfTrue="1" operator="between">
      <formula>50</formula>
      <formula>59.999</formula>
    </cfRule>
    <cfRule type="cellIs" dxfId="1079" priority="108" stopIfTrue="1" operator="between">
      <formula>40</formula>
      <formula>49.999</formula>
    </cfRule>
    <cfRule type="cellIs" dxfId="1078" priority="109" stopIfTrue="1" operator="lessThan">
      <formula>40</formula>
    </cfRule>
  </conditionalFormatting>
  <conditionalFormatting sqref="L4:L8">
    <cfRule type="expression" dxfId="1077" priority="110" stopIfTrue="1">
      <formula>ISBLANK(L4)</formula>
    </cfRule>
    <cfRule type="cellIs" dxfId="1076" priority="111" stopIfTrue="1" operator="equal">
      <formula>"No grades yet"</formula>
    </cfRule>
    <cfRule type="cellIs" dxfId="1075" priority="112" stopIfTrue="1" operator="greaterThanOrEqual">
      <formula>70</formula>
    </cfRule>
    <cfRule type="cellIs" dxfId="1074" priority="113" stopIfTrue="1" operator="between">
      <formula>60</formula>
      <formula>69.999</formula>
    </cfRule>
    <cfRule type="cellIs" dxfId="1073" priority="114" stopIfTrue="1" operator="between">
      <formula>50</formula>
      <formula>59.999</formula>
    </cfRule>
    <cfRule type="cellIs" dxfId="1072" priority="115" stopIfTrue="1" operator="between">
      <formula>40</formula>
      <formula>49.999</formula>
    </cfRule>
    <cfRule type="cellIs" dxfId="1071" priority="116" stopIfTrue="1" operator="lessThan">
      <formula>40</formula>
    </cfRule>
  </conditionalFormatting>
  <conditionalFormatting sqref="I9:I10">
    <cfRule type="expression" dxfId="1070" priority="131" stopIfTrue="1">
      <formula>ISBLANK(I9)</formula>
    </cfRule>
    <cfRule type="cellIs" dxfId="1069" priority="132" stopIfTrue="1" operator="equal">
      <formula>"No grades yet"</formula>
    </cfRule>
    <cfRule type="cellIs" dxfId="1068" priority="133" stopIfTrue="1" operator="greaterThanOrEqual">
      <formula>70</formula>
    </cfRule>
    <cfRule type="cellIs" dxfId="1067" priority="134" stopIfTrue="1" operator="between">
      <formula>60</formula>
      <formula>69.999</formula>
    </cfRule>
    <cfRule type="cellIs" dxfId="1066" priority="135" stopIfTrue="1" operator="between">
      <formula>50</formula>
      <formula>59.999</formula>
    </cfRule>
    <cfRule type="cellIs" dxfId="1065" priority="136" stopIfTrue="1" operator="between">
      <formula>40</formula>
      <formula>49.999</formula>
    </cfRule>
    <cfRule type="cellIs" dxfId="1064" priority="137" stopIfTrue="1" operator="lessThan">
      <formula>40</formula>
    </cfRule>
  </conditionalFormatting>
  <conditionalFormatting sqref="L9:L10">
    <cfRule type="expression" dxfId="1063" priority="138" stopIfTrue="1">
      <formula>ISBLANK(L9)</formula>
    </cfRule>
    <cfRule type="cellIs" dxfId="1062" priority="139" stopIfTrue="1" operator="equal">
      <formula>"No grades yet"</formula>
    </cfRule>
    <cfRule type="cellIs" dxfId="1061" priority="140" stopIfTrue="1" operator="greaterThanOrEqual">
      <formula>70</formula>
    </cfRule>
    <cfRule type="cellIs" dxfId="1060" priority="141" stopIfTrue="1" operator="between">
      <formula>60</formula>
      <formula>69.999</formula>
    </cfRule>
    <cfRule type="cellIs" dxfId="1059" priority="142" stopIfTrue="1" operator="between">
      <formula>50</formula>
      <formula>59.999</formula>
    </cfRule>
    <cfRule type="cellIs" dxfId="1058" priority="143" stopIfTrue="1" operator="between">
      <formula>40</formula>
      <formula>49.999</formula>
    </cfRule>
    <cfRule type="cellIs" dxfId="1057" priority="144" stopIfTrue="1" operator="lessThan">
      <formula>40</formula>
    </cfRule>
  </conditionalFormatting>
  <conditionalFormatting sqref="I11:I12">
    <cfRule type="expression" dxfId="1056" priority="145" stopIfTrue="1">
      <formula>ISBLANK(I11)</formula>
    </cfRule>
    <cfRule type="cellIs" dxfId="1055" priority="146" stopIfTrue="1" operator="equal">
      <formula>"No grades yet"</formula>
    </cfRule>
    <cfRule type="cellIs" dxfId="1054" priority="147" stopIfTrue="1" operator="greaterThanOrEqual">
      <formula>70</formula>
    </cfRule>
    <cfRule type="cellIs" dxfId="1053" priority="148" stopIfTrue="1" operator="between">
      <formula>60</formula>
      <formula>69.999</formula>
    </cfRule>
    <cfRule type="cellIs" dxfId="1052" priority="149" stopIfTrue="1" operator="between">
      <formula>50</formula>
      <formula>59.999</formula>
    </cfRule>
    <cfRule type="cellIs" dxfId="1051" priority="150" stopIfTrue="1" operator="between">
      <formula>40</formula>
      <formula>49.999</formula>
    </cfRule>
    <cfRule type="cellIs" dxfId="1050" priority="151" stopIfTrue="1" operator="lessThan">
      <formula>40</formula>
    </cfRule>
  </conditionalFormatting>
  <conditionalFormatting sqref="L11:L12">
    <cfRule type="expression" dxfId="1049" priority="152" stopIfTrue="1">
      <formula>ISBLANK(L11)</formula>
    </cfRule>
    <cfRule type="cellIs" dxfId="1048" priority="153" stopIfTrue="1" operator="equal">
      <formula>"No grades yet"</formula>
    </cfRule>
    <cfRule type="cellIs" dxfId="1047" priority="154" stopIfTrue="1" operator="greaterThanOrEqual">
      <formula>70</formula>
    </cfRule>
    <cfRule type="cellIs" dxfId="1046" priority="155" stopIfTrue="1" operator="between">
      <formula>60</formula>
      <formula>69.999</formula>
    </cfRule>
    <cfRule type="cellIs" dxfId="1045" priority="156" stopIfTrue="1" operator="between">
      <formula>50</formula>
      <formula>59.999</formula>
    </cfRule>
    <cfRule type="cellIs" dxfId="1044" priority="157" stopIfTrue="1" operator="between">
      <formula>40</formula>
      <formula>49.999</formula>
    </cfRule>
    <cfRule type="cellIs" dxfId="1043" priority="158" stopIfTrue="1" operator="lessThan">
      <formula>40</formula>
    </cfRule>
  </conditionalFormatting>
  <conditionalFormatting sqref="I13:I15">
    <cfRule type="expression" dxfId="1042" priority="159" stopIfTrue="1">
      <formula>ISBLANK(I13)</formula>
    </cfRule>
    <cfRule type="cellIs" dxfId="1041" priority="160" stopIfTrue="1" operator="equal">
      <formula>"No grades yet"</formula>
    </cfRule>
    <cfRule type="cellIs" dxfId="1040" priority="161" stopIfTrue="1" operator="greaterThanOrEqual">
      <formula>70</formula>
    </cfRule>
    <cfRule type="cellIs" dxfId="1039" priority="162" stopIfTrue="1" operator="between">
      <formula>60</formula>
      <formula>69.999</formula>
    </cfRule>
    <cfRule type="cellIs" dxfId="1038" priority="163" stopIfTrue="1" operator="between">
      <formula>50</formula>
      <formula>59.999</formula>
    </cfRule>
    <cfRule type="cellIs" dxfId="1037" priority="164" stopIfTrue="1" operator="between">
      <formula>40</formula>
      <formula>49.999</formula>
    </cfRule>
    <cfRule type="cellIs" dxfId="1036" priority="165" stopIfTrue="1" operator="lessThan">
      <formula>40</formula>
    </cfRule>
  </conditionalFormatting>
  <conditionalFormatting sqref="L13:L15">
    <cfRule type="expression" dxfId="1035" priority="166" stopIfTrue="1">
      <formula>ISBLANK(L13)</formula>
    </cfRule>
    <cfRule type="cellIs" dxfId="1034" priority="167" stopIfTrue="1" operator="equal">
      <formula>"No grades yet"</formula>
    </cfRule>
    <cfRule type="cellIs" dxfId="1033" priority="168" stopIfTrue="1" operator="greaterThanOrEqual">
      <formula>70</formula>
    </cfRule>
    <cfRule type="cellIs" dxfId="1032" priority="169" stopIfTrue="1" operator="between">
      <formula>60</formula>
      <formula>69.999</formula>
    </cfRule>
    <cfRule type="cellIs" dxfId="1031" priority="170" stopIfTrue="1" operator="between">
      <formula>50</formula>
      <formula>59.999</formula>
    </cfRule>
    <cfRule type="cellIs" dxfId="1030" priority="171" stopIfTrue="1" operator="between">
      <formula>40</formula>
      <formula>49.999</formula>
    </cfRule>
    <cfRule type="cellIs" dxfId="1029" priority="172" stopIfTrue="1" operator="lessThan">
      <formula>40</formula>
    </cfRule>
  </conditionalFormatting>
  <conditionalFormatting sqref="I16:I17">
    <cfRule type="expression" dxfId="1028" priority="173" stopIfTrue="1">
      <formula>ISBLANK(I16)</formula>
    </cfRule>
    <cfRule type="cellIs" dxfId="1027" priority="174" stopIfTrue="1" operator="equal">
      <formula>"No grades yet"</formula>
    </cfRule>
    <cfRule type="cellIs" dxfId="1026" priority="175" stopIfTrue="1" operator="greaterThanOrEqual">
      <formula>70</formula>
    </cfRule>
    <cfRule type="cellIs" dxfId="1025" priority="176" stopIfTrue="1" operator="between">
      <formula>60</formula>
      <formula>69.999</formula>
    </cfRule>
    <cfRule type="cellIs" dxfId="1024" priority="177" stopIfTrue="1" operator="between">
      <formula>50</formula>
      <formula>59.999</formula>
    </cfRule>
    <cfRule type="cellIs" dxfId="1023" priority="178" stopIfTrue="1" operator="between">
      <formula>40</formula>
      <formula>49.999</formula>
    </cfRule>
    <cfRule type="cellIs" dxfId="1022" priority="179" stopIfTrue="1" operator="lessThan">
      <formula>40</formula>
    </cfRule>
  </conditionalFormatting>
  <conditionalFormatting sqref="L16:L17">
    <cfRule type="expression" dxfId="1021" priority="180" stopIfTrue="1">
      <formula>ISBLANK(L16)</formula>
    </cfRule>
    <cfRule type="cellIs" dxfId="1020" priority="181" stopIfTrue="1" operator="equal">
      <formula>"No grades yet"</formula>
    </cfRule>
    <cfRule type="cellIs" dxfId="1019" priority="182" stopIfTrue="1" operator="greaterThanOrEqual">
      <formula>70</formula>
    </cfRule>
    <cfRule type="cellIs" dxfId="1018" priority="183" stopIfTrue="1" operator="between">
      <formula>60</formula>
      <formula>69.999</formula>
    </cfRule>
    <cfRule type="cellIs" dxfId="1017" priority="184" stopIfTrue="1" operator="between">
      <formula>50</formula>
      <formula>59.999</formula>
    </cfRule>
    <cfRule type="cellIs" dxfId="1016" priority="185" stopIfTrue="1" operator="between">
      <formula>40</formula>
      <formula>49.999</formula>
    </cfRule>
    <cfRule type="cellIs" dxfId="1015" priority="186" stopIfTrue="1" operator="lessThan">
      <formula>40</formula>
    </cfRule>
  </conditionalFormatting>
  <conditionalFormatting sqref="I18">
    <cfRule type="expression" dxfId="1014" priority="187" stopIfTrue="1">
      <formula>ISBLANK(I18)</formula>
    </cfRule>
  </conditionalFormatting>
  <conditionalFormatting sqref="I18">
    <cfRule type="cellIs" dxfId="1013" priority="188" stopIfTrue="1" operator="equal">
      <formula>"No grades yet"</formula>
    </cfRule>
  </conditionalFormatting>
  <conditionalFormatting sqref="I18">
    <cfRule type="cellIs" dxfId="1012" priority="189" stopIfTrue="1" operator="greaterThanOrEqual">
      <formula>70</formula>
    </cfRule>
  </conditionalFormatting>
  <conditionalFormatting sqref="I18">
    <cfRule type="cellIs" dxfId="1011" priority="190" stopIfTrue="1" operator="between">
      <formula>60</formula>
      <formula>69.999</formula>
    </cfRule>
  </conditionalFormatting>
  <conditionalFormatting sqref="I18">
    <cfRule type="cellIs" dxfId="1010" priority="191" stopIfTrue="1" operator="between">
      <formula>50</formula>
      <formula>59.999</formula>
    </cfRule>
  </conditionalFormatting>
  <conditionalFormatting sqref="I18">
    <cfRule type="cellIs" dxfId="1009" priority="192" stopIfTrue="1" operator="between">
      <formula>40</formula>
      <formula>49.999</formula>
    </cfRule>
  </conditionalFormatting>
  <conditionalFormatting sqref="I18">
    <cfRule type="cellIs" dxfId="1008" priority="193" stopIfTrue="1" operator="lessThan">
      <formula>40</formula>
    </cfRule>
  </conditionalFormatting>
  <conditionalFormatting sqref="L18">
    <cfRule type="expression" dxfId="1007" priority="194" stopIfTrue="1">
      <formula>ISBLANK(L18)</formula>
    </cfRule>
  </conditionalFormatting>
  <conditionalFormatting sqref="L18">
    <cfRule type="cellIs" dxfId="1006" priority="195" stopIfTrue="1" operator="equal">
      <formula>"No grades yet"</formula>
    </cfRule>
  </conditionalFormatting>
  <conditionalFormatting sqref="L18">
    <cfRule type="cellIs" dxfId="1005" priority="196" stopIfTrue="1" operator="greaterThanOrEqual">
      <formula>70</formula>
    </cfRule>
  </conditionalFormatting>
  <conditionalFormatting sqref="L18">
    <cfRule type="cellIs" dxfId="1004" priority="197" stopIfTrue="1" operator="between">
      <formula>60</formula>
      <formula>69.999</formula>
    </cfRule>
  </conditionalFormatting>
  <conditionalFormatting sqref="L18">
    <cfRule type="cellIs" dxfId="1003" priority="198" stopIfTrue="1" operator="between">
      <formula>50</formula>
      <formula>59.999</formula>
    </cfRule>
  </conditionalFormatting>
  <conditionalFormatting sqref="L18">
    <cfRule type="cellIs" dxfId="1002" priority="199" stopIfTrue="1" operator="between">
      <formula>40</formula>
      <formula>49.999</formula>
    </cfRule>
  </conditionalFormatting>
  <conditionalFormatting sqref="L18">
    <cfRule type="cellIs" dxfId="1001" priority="200" stopIfTrue="1" operator="lessThan">
      <formula>40</formula>
    </cfRule>
  </conditionalFormatting>
  <conditionalFormatting sqref="I23:I26">
    <cfRule type="expression" dxfId="1000" priority="201" stopIfTrue="1">
      <formula>ISBLANK(I23)</formula>
    </cfRule>
  </conditionalFormatting>
  <conditionalFormatting sqref="I23:I26">
    <cfRule type="cellIs" dxfId="999" priority="202" stopIfTrue="1" operator="equal">
      <formula>"No grades yet"</formula>
    </cfRule>
  </conditionalFormatting>
  <conditionalFormatting sqref="I23:I26">
    <cfRule type="cellIs" dxfId="998" priority="203" stopIfTrue="1" operator="greaterThanOrEqual">
      <formula>70</formula>
    </cfRule>
  </conditionalFormatting>
  <conditionalFormatting sqref="I23:I26">
    <cfRule type="cellIs" dxfId="997" priority="204" stopIfTrue="1" operator="between">
      <formula>60</formula>
      <formula>69.999</formula>
    </cfRule>
  </conditionalFormatting>
  <conditionalFormatting sqref="I23:I26">
    <cfRule type="cellIs" dxfId="996" priority="205" stopIfTrue="1" operator="between">
      <formula>50</formula>
      <formula>59.999</formula>
    </cfRule>
  </conditionalFormatting>
  <conditionalFormatting sqref="I23:I26">
    <cfRule type="cellIs" dxfId="995" priority="206" stopIfTrue="1" operator="between">
      <formula>40</formula>
      <formula>49.999</formula>
    </cfRule>
  </conditionalFormatting>
  <conditionalFormatting sqref="I23:I26">
    <cfRule type="cellIs" dxfId="994" priority="207" stopIfTrue="1" operator="lessThan">
      <formula>40</formula>
    </cfRule>
  </conditionalFormatting>
  <conditionalFormatting sqref="L23:L26">
    <cfRule type="expression" dxfId="993" priority="208" stopIfTrue="1">
      <formula>ISBLANK(L23)</formula>
    </cfRule>
  </conditionalFormatting>
  <conditionalFormatting sqref="L23:L26">
    <cfRule type="cellIs" dxfId="992" priority="209" stopIfTrue="1" operator="equal">
      <formula>"No grades yet"</formula>
    </cfRule>
  </conditionalFormatting>
  <conditionalFormatting sqref="L23:L26">
    <cfRule type="cellIs" dxfId="991" priority="210" stopIfTrue="1" operator="greaterThanOrEqual">
      <formula>70</formula>
    </cfRule>
  </conditionalFormatting>
  <conditionalFormatting sqref="L23:L26">
    <cfRule type="cellIs" dxfId="990" priority="211" stopIfTrue="1" operator="between">
      <formula>60</formula>
      <formula>69.999</formula>
    </cfRule>
  </conditionalFormatting>
  <conditionalFormatting sqref="L23:L26">
    <cfRule type="cellIs" dxfId="989" priority="212" stopIfTrue="1" operator="between">
      <formula>50</formula>
      <formula>59.999</formula>
    </cfRule>
  </conditionalFormatting>
  <conditionalFormatting sqref="L23:L26">
    <cfRule type="cellIs" dxfId="988" priority="213" stopIfTrue="1" operator="between">
      <formula>40</formula>
      <formula>49.999</formula>
    </cfRule>
  </conditionalFormatting>
  <conditionalFormatting sqref="L23:L26">
    <cfRule type="cellIs" dxfId="987" priority="214" stopIfTrue="1" operator="lessThan">
      <formula>40</formula>
    </cfRule>
  </conditionalFormatting>
  <conditionalFormatting sqref="I27:I28">
    <cfRule type="expression" dxfId="986" priority="215" stopIfTrue="1">
      <formula>ISBLANK(I27)</formula>
    </cfRule>
  </conditionalFormatting>
  <conditionalFormatting sqref="I27:I28">
    <cfRule type="cellIs" dxfId="985" priority="216" stopIfTrue="1" operator="equal">
      <formula>"No grades yet"</formula>
    </cfRule>
  </conditionalFormatting>
  <conditionalFormatting sqref="I27:I28">
    <cfRule type="cellIs" dxfId="984" priority="217" stopIfTrue="1" operator="greaterThanOrEqual">
      <formula>70</formula>
    </cfRule>
  </conditionalFormatting>
  <conditionalFormatting sqref="I27:I28">
    <cfRule type="cellIs" dxfId="983" priority="218" stopIfTrue="1" operator="between">
      <formula>60</formula>
      <formula>69.999</formula>
    </cfRule>
  </conditionalFormatting>
  <conditionalFormatting sqref="I27:I28">
    <cfRule type="cellIs" dxfId="982" priority="219" stopIfTrue="1" operator="between">
      <formula>50</formula>
      <formula>59.999</formula>
    </cfRule>
  </conditionalFormatting>
  <conditionalFormatting sqref="I27:I28">
    <cfRule type="cellIs" dxfId="981" priority="220" stopIfTrue="1" operator="between">
      <formula>40</formula>
      <formula>49.999</formula>
    </cfRule>
  </conditionalFormatting>
  <conditionalFormatting sqref="I27:I28">
    <cfRule type="cellIs" dxfId="980" priority="221" stopIfTrue="1" operator="lessThan">
      <formula>40</formula>
    </cfRule>
  </conditionalFormatting>
  <conditionalFormatting sqref="L27:L28">
    <cfRule type="expression" dxfId="979" priority="222" stopIfTrue="1">
      <formula>ISBLANK(L27)</formula>
    </cfRule>
  </conditionalFormatting>
  <conditionalFormatting sqref="L27:L28">
    <cfRule type="cellIs" dxfId="978" priority="223" stopIfTrue="1" operator="equal">
      <formula>"No grades yet"</formula>
    </cfRule>
  </conditionalFormatting>
  <conditionalFormatting sqref="L27:L28">
    <cfRule type="cellIs" dxfId="977" priority="224" stopIfTrue="1" operator="greaterThanOrEqual">
      <formula>70</formula>
    </cfRule>
  </conditionalFormatting>
  <conditionalFormatting sqref="L27:L28">
    <cfRule type="cellIs" dxfId="976" priority="225" stopIfTrue="1" operator="between">
      <formula>60</formula>
      <formula>69.999</formula>
    </cfRule>
  </conditionalFormatting>
  <conditionalFormatting sqref="L27:L28">
    <cfRule type="cellIs" dxfId="975" priority="226" stopIfTrue="1" operator="between">
      <formula>50</formula>
      <formula>59.999</formula>
    </cfRule>
  </conditionalFormatting>
  <conditionalFormatting sqref="L27:L28">
    <cfRule type="cellIs" dxfId="974" priority="227" stopIfTrue="1" operator="between">
      <formula>40</formula>
      <formula>49.999</formula>
    </cfRule>
  </conditionalFormatting>
  <conditionalFormatting sqref="L27:L28">
    <cfRule type="cellIs" dxfId="973" priority="228" stopIfTrue="1" operator="lessThan">
      <formula>40</formula>
    </cfRule>
  </conditionalFormatting>
  <conditionalFormatting sqref="I29:I31">
    <cfRule type="expression" dxfId="972" priority="229" stopIfTrue="1">
      <formula>ISBLANK(I29)</formula>
    </cfRule>
  </conditionalFormatting>
  <conditionalFormatting sqref="I29:I31">
    <cfRule type="cellIs" dxfId="971" priority="230" stopIfTrue="1" operator="equal">
      <formula>"No grades yet"</formula>
    </cfRule>
  </conditionalFormatting>
  <conditionalFormatting sqref="I29:I31">
    <cfRule type="cellIs" dxfId="970" priority="231" stopIfTrue="1" operator="greaterThanOrEqual">
      <formula>70</formula>
    </cfRule>
  </conditionalFormatting>
  <conditionalFormatting sqref="I29:I31">
    <cfRule type="cellIs" dxfId="969" priority="232" stopIfTrue="1" operator="between">
      <formula>60</formula>
      <formula>69.999</formula>
    </cfRule>
  </conditionalFormatting>
  <conditionalFormatting sqref="I29:I31">
    <cfRule type="cellIs" dxfId="968" priority="233" stopIfTrue="1" operator="between">
      <formula>50</formula>
      <formula>59.999</formula>
    </cfRule>
  </conditionalFormatting>
  <conditionalFormatting sqref="I29:I31">
    <cfRule type="cellIs" dxfId="967" priority="234" stopIfTrue="1" operator="between">
      <formula>40</formula>
      <formula>49.999</formula>
    </cfRule>
  </conditionalFormatting>
  <conditionalFormatting sqref="I29:I31">
    <cfRule type="cellIs" dxfId="966" priority="235" stopIfTrue="1" operator="lessThan">
      <formula>40</formula>
    </cfRule>
  </conditionalFormatting>
  <conditionalFormatting sqref="L29:L31">
    <cfRule type="expression" dxfId="965" priority="236" stopIfTrue="1">
      <formula>ISBLANK(L29)</formula>
    </cfRule>
  </conditionalFormatting>
  <conditionalFormatting sqref="L29:L31">
    <cfRule type="cellIs" dxfId="964" priority="237" stopIfTrue="1" operator="equal">
      <formula>"No grades yet"</formula>
    </cfRule>
  </conditionalFormatting>
  <conditionalFormatting sqref="L29:L31">
    <cfRule type="cellIs" dxfId="963" priority="238" stopIfTrue="1" operator="greaterThanOrEqual">
      <formula>70</formula>
    </cfRule>
  </conditionalFormatting>
  <conditionalFormatting sqref="L29:L31">
    <cfRule type="cellIs" dxfId="962" priority="239" stopIfTrue="1" operator="between">
      <formula>60</formula>
      <formula>69.999</formula>
    </cfRule>
  </conditionalFormatting>
  <conditionalFormatting sqref="L29:L31">
    <cfRule type="cellIs" dxfId="961" priority="240" stopIfTrue="1" operator="between">
      <formula>50</formula>
      <formula>59.999</formula>
    </cfRule>
  </conditionalFormatting>
  <conditionalFormatting sqref="L29:L31">
    <cfRule type="cellIs" dxfId="960" priority="241" stopIfTrue="1" operator="between">
      <formula>40</formula>
      <formula>49.999</formula>
    </cfRule>
  </conditionalFormatting>
  <conditionalFormatting sqref="L29:L31">
    <cfRule type="cellIs" dxfId="959" priority="242" stopIfTrue="1" operator="lessThan">
      <formula>40</formula>
    </cfRule>
  </conditionalFormatting>
  <conditionalFormatting sqref="I32:I33">
    <cfRule type="expression" dxfId="958" priority="243" stopIfTrue="1">
      <formula>ISBLANK(I32)</formula>
    </cfRule>
  </conditionalFormatting>
  <conditionalFormatting sqref="I32:I33">
    <cfRule type="cellIs" dxfId="957" priority="244" stopIfTrue="1" operator="equal">
      <formula>"No grades yet"</formula>
    </cfRule>
  </conditionalFormatting>
  <conditionalFormatting sqref="I32:I33">
    <cfRule type="cellIs" dxfId="956" priority="245" stopIfTrue="1" operator="greaterThanOrEqual">
      <formula>70</formula>
    </cfRule>
  </conditionalFormatting>
  <conditionalFormatting sqref="I32:I33">
    <cfRule type="cellIs" dxfId="955" priority="246" stopIfTrue="1" operator="between">
      <formula>60</formula>
      <formula>69.999</formula>
    </cfRule>
  </conditionalFormatting>
  <conditionalFormatting sqref="I32:I33">
    <cfRule type="cellIs" dxfId="954" priority="247" stopIfTrue="1" operator="between">
      <formula>50</formula>
      <formula>59.999</formula>
    </cfRule>
  </conditionalFormatting>
  <conditionalFormatting sqref="I32:I33">
    <cfRule type="cellIs" dxfId="953" priority="248" stopIfTrue="1" operator="between">
      <formula>40</formula>
      <formula>49.999</formula>
    </cfRule>
  </conditionalFormatting>
  <conditionalFormatting sqref="I32:I33">
    <cfRule type="cellIs" dxfId="952" priority="249" stopIfTrue="1" operator="lessThan">
      <formula>40</formula>
    </cfRule>
  </conditionalFormatting>
  <conditionalFormatting sqref="L32:L33">
    <cfRule type="expression" dxfId="951" priority="250" stopIfTrue="1">
      <formula>ISBLANK(L32)</formula>
    </cfRule>
  </conditionalFormatting>
  <conditionalFormatting sqref="L32:L33">
    <cfRule type="cellIs" dxfId="950" priority="251" stopIfTrue="1" operator="equal">
      <formula>"No grades yet"</formula>
    </cfRule>
  </conditionalFormatting>
  <conditionalFormatting sqref="L32:L33">
    <cfRule type="cellIs" dxfId="949" priority="252" stopIfTrue="1" operator="greaterThanOrEqual">
      <formula>70</formula>
    </cfRule>
  </conditionalFormatting>
  <conditionalFormatting sqref="L32:L33">
    <cfRule type="cellIs" dxfId="948" priority="253" stopIfTrue="1" operator="between">
      <formula>60</formula>
      <formula>69.999</formula>
    </cfRule>
  </conditionalFormatting>
  <conditionalFormatting sqref="L32:L33">
    <cfRule type="cellIs" dxfId="947" priority="254" stopIfTrue="1" operator="between">
      <formula>50</formula>
      <formula>59.999</formula>
    </cfRule>
  </conditionalFormatting>
  <conditionalFormatting sqref="L32:L33">
    <cfRule type="cellIs" dxfId="946" priority="255" stopIfTrue="1" operator="between">
      <formula>40</formula>
      <formula>49.999</formula>
    </cfRule>
  </conditionalFormatting>
  <conditionalFormatting sqref="L32:L33">
    <cfRule type="cellIs" dxfId="945" priority="256" stopIfTrue="1" operator="lessThan">
      <formula>40</formula>
    </cfRule>
  </conditionalFormatting>
  <conditionalFormatting sqref="I34">
    <cfRule type="expression" dxfId="944" priority="257" stopIfTrue="1">
      <formula>ISBLANK(I34)</formula>
    </cfRule>
  </conditionalFormatting>
  <conditionalFormatting sqref="I34">
    <cfRule type="cellIs" dxfId="943" priority="258" stopIfTrue="1" operator="equal">
      <formula>"No grades yet"</formula>
    </cfRule>
  </conditionalFormatting>
  <conditionalFormatting sqref="I34">
    <cfRule type="cellIs" dxfId="942" priority="259" stopIfTrue="1" operator="greaterThanOrEqual">
      <formula>70</formula>
    </cfRule>
  </conditionalFormatting>
  <conditionalFormatting sqref="I34">
    <cfRule type="cellIs" dxfId="941" priority="260" stopIfTrue="1" operator="between">
      <formula>60</formula>
      <formula>69.999</formula>
    </cfRule>
  </conditionalFormatting>
  <conditionalFormatting sqref="I34">
    <cfRule type="cellIs" dxfId="940" priority="261" stopIfTrue="1" operator="between">
      <formula>50</formula>
      <formula>59.999</formula>
    </cfRule>
  </conditionalFormatting>
  <conditionalFormatting sqref="I34">
    <cfRule type="cellIs" dxfId="939" priority="262" stopIfTrue="1" operator="between">
      <formula>40</formula>
      <formula>49.999</formula>
    </cfRule>
  </conditionalFormatting>
  <conditionalFormatting sqref="I34">
    <cfRule type="cellIs" dxfId="938" priority="263" stopIfTrue="1" operator="lessThan">
      <formula>40</formula>
    </cfRule>
  </conditionalFormatting>
  <conditionalFormatting sqref="L34">
    <cfRule type="expression" dxfId="937" priority="264" stopIfTrue="1">
      <formula>ISBLANK(L34)</formula>
    </cfRule>
  </conditionalFormatting>
  <conditionalFormatting sqref="L34">
    <cfRule type="cellIs" dxfId="936" priority="265" stopIfTrue="1" operator="equal">
      <formula>"No grades yet"</formula>
    </cfRule>
  </conditionalFormatting>
  <conditionalFormatting sqref="L34">
    <cfRule type="cellIs" dxfId="935" priority="266" stopIfTrue="1" operator="greaterThanOrEqual">
      <formula>70</formula>
    </cfRule>
  </conditionalFormatting>
  <conditionalFormatting sqref="L34">
    <cfRule type="cellIs" dxfId="934" priority="267" stopIfTrue="1" operator="between">
      <formula>60</formula>
      <formula>69.999</formula>
    </cfRule>
  </conditionalFormatting>
  <conditionalFormatting sqref="L34">
    <cfRule type="cellIs" dxfId="933" priority="268" stopIfTrue="1" operator="between">
      <formula>50</formula>
      <formula>59.999</formula>
    </cfRule>
  </conditionalFormatting>
  <conditionalFormatting sqref="L34">
    <cfRule type="cellIs" dxfId="932" priority="269" stopIfTrue="1" operator="between">
      <formula>40</formula>
      <formula>49.999</formula>
    </cfRule>
  </conditionalFormatting>
  <conditionalFormatting sqref="L34">
    <cfRule type="cellIs" dxfId="931" priority="270" stopIfTrue="1" operator="lessThan">
      <formula>40</formula>
    </cfRule>
  </conditionalFormatting>
  <conditionalFormatting sqref="I35:I36">
    <cfRule type="expression" dxfId="930" priority="271" stopIfTrue="1">
      <formula>ISBLANK(I35)</formula>
    </cfRule>
  </conditionalFormatting>
  <conditionalFormatting sqref="I35:I36">
    <cfRule type="cellIs" dxfId="929" priority="272" stopIfTrue="1" operator="equal">
      <formula>"No grades yet"</formula>
    </cfRule>
  </conditionalFormatting>
  <conditionalFormatting sqref="I35:I36">
    <cfRule type="cellIs" dxfId="928" priority="273" stopIfTrue="1" operator="greaterThanOrEqual">
      <formula>70</formula>
    </cfRule>
  </conditionalFormatting>
  <conditionalFormatting sqref="I35:I36">
    <cfRule type="cellIs" dxfId="927" priority="274" stopIfTrue="1" operator="between">
      <formula>60</formula>
      <formula>69.999</formula>
    </cfRule>
  </conditionalFormatting>
  <conditionalFormatting sqref="I35:I36">
    <cfRule type="cellIs" dxfId="926" priority="275" stopIfTrue="1" operator="between">
      <formula>50</formula>
      <formula>59.999</formula>
    </cfRule>
  </conditionalFormatting>
  <conditionalFormatting sqref="I35:I36">
    <cfRule type="cellIs" dxfId="925" priority="276" stopIfTrue="1" operator="between">
      <formula>40</formula>
      <formula>49.999</formula>
    </cfRule>
  </conditionalFormatting>
  <conditionalFormatting sqref="I35:I36">
    <cfRule type="cellIs" dxfId="924" priority="277" stopIfTrue="1" operator="lessThan">
      <formula>40</formula>
    </cfRule>
  </conditionalFormatting>
  <conditionalFormatting sqref="L35:L36">
    <cfRule type="expression" dxfId="923" priority="278" stopIfTrue="1">
      <formula>ISBLANK(L35)</formula>
    </cfRule>
  </conditionalFormatting>
  <conditionalFormatting sqref="L35:L36">
    <cfRule type="cellIs" dxfId="922" priority="279" stopIfTrue="1" operator="equal">
      <formula>"No grades yet"</formula>
    </cfRule>
  </conditionalFormatting>
  <conditionalFormatting sqref="L35:L36">
    <cfRule type="cellIs" dxfId="921" priority="280" stopIfTrue="1" operator="greaterThanOrEqual">
      <formula>70</formula>
    </cfRule>
  </conditionalFormatting>
  <conditionalFormatting sqref="L35:L36">
    <cfRule type="cellIs" dxfId="920" priority="281" stopIfTrue="1" operator="between">
      <formula>60</formula>
      <formula>69.999</formula>
    </cfRule>
  </conditionalFormatting>
  <conditionalFormatting sqref="L35:L36">
    <cfRule type="cellIs" dxfId="919" priority="282" stopIfTrue="1" operator="between">
      <formula>50</formula>
      <formula>59.999</formula>
    </cfRule>
  </conditionalFormatting>
  <conditionalFormatting sqref="L35:L36">
    <cfRule type="cellIs" dxfId="918" priority="283" stopIfTrue="1" operator="between">
      <formula>40</formula>
      <formula>49.999</formula>
    </cfRule>
  </conditionalFormatting>
  <conditionalFormatting sqref="L35:L36">
    <cfRule type="cellIs" dxfId="917" priority="284" stopIfTrue="1" operator="lessThan">
      <formula>40</formula>
    </cfRule>
  </conditionalFormatting>
  <conditionalFormatting sqref="I37:I38">
    <cfRule type="expression" dxfId="916" priority="285" stopIfTrue="1">
      <formula>ISBLANK(I37)</formula>
    </cfRule>
  </conditionalFormatting>
  <conditionalFormatting sqref="I37:I38">
    <cfRule type="cellIs" dxfId="915" priority="286" stopIfTrue="1" operator="equal">
      <formula>"No grades yet"</formula>
    </cfRule>
  </conditionalFormatting>
  <conditionalFormatting sqref="I37:I38">
    <cfRule type="cellIs" dxfId="914" priority="287" stopIfTrue="1" operator="greaterThanOrEqual">
      <formula>70</formula>
    </cfRule>
  </conditionalFormatting>
  <conditionalFormatting sqref="I37:I38">
    <cfRule type="cellIs" dxfId="913" priority="288" stopIfTrue="1" operator="between">
      <formula>60</formula>
      <formula>69.999</formula>
    </cfRule>
  </conditionalFormatting>
  <conditionalFormatting sqref="I37:I38">
    <cfRule type="cellIs" dxfId="912" priority="289" stopIfTrue="1" operator="between">
      <formula>50</formula>
      <formula>59.999</formula>
    </cfRule>
  </conditionalFormatting>
  <conditionalFormatting sqref="I37:I38">
    <cfRule type="cellIs" dxfId="911" priority="290" stopIfTrue="1" operator="between">
      <formula>40</formula>
      <formula>49.999</formula>
    </cfRule>
  </conditionalFormatting>
  <conditionalFormatting sqref="I37:I38">
    <cfRule type="cellIs" dxfId="910" priority="291" stopIfTrue="1" operator="lessThan">
      <formula>40</formula>
    </cfRule>
  </conditionalFormatting>
  <conditionalFormatting sqref="L37:L38">
    <cfRule type="expression" dxfId="909" priority="292" stopIfTrue="1">
      <formula>ISBLANK(L37)</formula>
    </cfRule>
  </conditionalFormatting>
  <conditionalFormatting sqref="L37:L38">
    <cfRule type="cellIs" dxfId="908" priority="293" stopIfTrue="1" operator="equal">
      <formula>"No grades yet"</formula>
    </cfRule>
  </conditionalFormatting>
  <conditionalFormatting sqref="L37:L38">
    <cfRule type="cellIs" dxfId="907" priority="294" stopIfTrue="1" operator="greaterThanOrEqual">
      <formula>70</formula>
    </cfRule>
  </conditionalFormatting>
  <conditionalFormatting sqref="L37:L38">
    <cfRule type="cellIs" dxfId="906" priority="295" stopIfTrue="1" operator="between">
      <formula>60</formula>
      <formula>69.999</formula>
    </cfRule>
  </conditionalFormatting>
  <conditionalFormatting sqref="L37:L38">
    <cfRule type="cellIs" dxfId="905" priority="296" stopIfTrue="1" operator="between">
      <formula>50</formula>
      <formula>59.999</formula>
    </cfRule>
  </conditionalFormatting>
  <conditionalFormatting sqref="L37:L38">
    <cfRule type="cellIs" dxfId="904" priority="297" stopIfTrue="1" operator="between">
      <formula>40</formula>
      <formula>49.999</formula>
    </cfRule>
  </conditionalFormatting>
  <conditionalFormatting sqref="L37:L38">
    <cfRule type="cellIs" dxfId="903" priority="298" stopIfTrue="1" operator="lessThan">
      <formula>40</formula>
    </cfRule>
  </conditionalFormatting>
  <conditionalFormatting sqref="I39:I42">
    <cfRule type="expression" dxfId="902" priority="299" stopIfTrue="1">
      <formula>ISBLANK(I39)</formula>
    </cfRule>
  </conditionalFormatting>
  <conditionalFormatting sqref="I39:I42">
    <cfRule type="cellIs" dxfId="901" priority="300" stopIfTrue="1" operator="equal">
      <formula>"No grades yet"</formula>
    </cfRule>
  </conditionalFormatting>
  <conditionalFormatting sqref="I39:I42">
    <cfRule type="cellIs" dxfId="900" priority="301" stopIfTrue="1" operator="greaterThanOrEqual">
      <formula>70</formula>
    </cfRule>
  </conditionalFormatting>
  <conditionalFormatting sqref="I39:I42">
    <cfRule type="cellIs" dxfId="899" priority="302" stopIfTrue="1" operator="between">
      <formula>60</formula>
      <formula>69.999</formula>
    </cfRule>
  </conditionalFormatting>
  <conditionalFormatting sqref="I39:I42">
    <cfRule type="cellIs" dxfId="898" priority="303" stopIfTrue="1" operator="between">
      <formula>50</formula>
      <formula>59.999</formula>
    </cfRule>
  </conditionalFormatting>
  <conditionalFormatting sqref="I39:I42">
    <cfRule type="cellIs" dxfId="897" priority="304" stopIfTrue="1" operator="between">
      <formula>40</formula>
      <formula>49.999</formula>
    </cfRule>
  </conditionalFormatting>
  <conditionalFormatting sqref="I39:I42">
    <cfRule type="cellIs" dxfId="896" priority="305" stopIfTrue="1" operator="lessThan">
      <formula>40</formula>
    </cfRule>
  </conditionalFormatting>
  <conditionalFormatting sqref="L39:L42">
    <cfRule type="expression" dxfId="895" priority="306" stopIfTrue="1">
      <formula>ISBLANK(L39)</formula>
    </cfRule>
  </conditionalFormatting>
  <conditionalFormatting sqref="L39:L42">
    <cfRule type="cellIs" dxfId="894" priority="307" stopIfTrue="1" operator="equal">
      <formula>"No grades yet"</formula>
    </cfRule>
  </conditionalFormatting>
  <conditionalFormatting sqref="L39:L42">
    <cfRule type="cellIs" dxfId="893" priority="308" stopIfTrue="1" operator="greaterThanOrEqual">
      <formula>70</formula>
    </cfRule>
  </conditionalFormatting>
  <conditionalFormatting sqref="L39:L42">
    <cfRule type="cellIs" dxfId="892" priority="309" stopIfTrue="1" operator="between">
      <formula>60</formula>
      <formula>69.999</formula>
    </cfRule>
  </conditionalFormatting>
  <conditionalFormatting sqref="L39:L42">
    <cfRule type="cellIs" dxfId="891" priority="310" stopIfTrue="1" operator="between">
      <formula>50</formula>
      <formula>59.999</formula>
    </cfRule>
  </conditionalFormatting>
  <conditionalFormatting sqref="L39:L42">
    <cfRule type="cellIs" dxfId="890" priority="311" stopIfTrue="1" operator="between">
      <formula>40</formula>
      <formula>49.999</formula>
    </cfRule>
  </conditionalFormatting>
  <conditionalFormatting sqref="L39:L42">
    <cfRule type="cellIs" dxfId="889" priority="312" stopIfTrue="1" operator="lessThan">
      <formula>40</formula>
    </cfRule>
  </conditionalFormatting>
  <conditionalFormatting sqref="I43">
    <cfRule type="expression" dxfId="888" priority="313" stopIfTrue="1">
      <formula>ISBLANK(I43)</formula>
    </cfRule>
  </conditionalFormatting>
  <conditionalFormatting sqref="I43">
    <cfRule type="cellIs" dxfId="887" priority="314" stopIfTrue="1" operator="equal">
      <formula>"No grades yet"</formula>
    </cfRule>
  </conditionalFormatting>
  <conditionalFormatting sqref="I43">
    <cfRule type="cellIs" dxfId="886" priority="315" stopIfTrue="1" operator="greaterThanOrEqual">
      <formula>70</formula>
    </cfRule>
  </conditionalFormatting>
  <conditionalFormatting sqref="I43">
    <cfRule type="cellIs" dxfId="885" priority="316" stopIfTrue="1" operator="between">
      <formula>60</formula>
      <formula>69.999</formula>
    </cfRule>
  </conditionalFormatting>
  <conditionalFormatting sqref="I43">
    <cfRule type="cellIs" dxfId="884" priority="317" stopIfTrue="1" operator="between">
      <formula>50</formula>
      <formula>59.999</formula>
    </cfRule>
  </conditionalFormatting>
  <conditionalFormatting sqref="I43">
    <cfRule type="cellIs" dxfId="883" priority="318" stopIfTrue="1" operator="between">
      <formula>40</formula>
      <formula>49.999</formula>
    </cfRule>
  </conditionalFormatting>
  <conditionalFormatting sqref="I43">
    <cfRule type="cellIs" dxfId="882" priority="319" stopIfTrue="1" operator="lessThan">
      <formula>40</formula>
    </cfRule>
  </conditionalFormatting>
  <conditionalFormatting sqref="L43">
    <cfRule type="expression" dxfId="881" priority="320" stopIfTrue="1">
      <formula>ISBLANK(L43)</formula>
    </cfRule>
  </conditionalFormatting>
  <conditionalFormatting sqref="L43">
    <cfRule type="cellIs" dxfId="880" priority="321" stopIfTrue="1" operator="equal">
      <formula>"No grades yet"</formula>
    </cfRule>
  </conditionalFormatting>
  <conditionalFormatting sqref="L43">
    <cfRule type="cellIs" dxfId="879" priority="322" stopIfTrue="1" operator="greaterThanOrEqual">
      <formula>70</formula>
    </cfRule>
  </conditionalFormatting>
  <conditionalFormatting sqref="L43">
    <cfRule type="cellIs" dxfId="878" priority="323" stopIfTrue="1" operator="between">
      <formula>60</formula>
      <formula>69.999</formula>
    </cfRule>
  </conditionalFormatting>
  <conditionalFormatting sqref="L43">
    <cfRule type="cellIs" dxfId="877" priority="324" stopIfTrue="1" operator="between">
      <formula>50</formula>
      <formula>59.999</formula>
    </cfRule>
  </conditionalFormatting>
  <conditionalFormatting sqref="L43">
    <cfRule type="cellIs" dxfId="876" priority="325" stopIfTrue="1" operator="between">
      <formula>40</formula>
      <formula>49.999</formula>
    </cfRule>
  </conditionalFormatting>
  <conditionalFormatting sqref="L43">
    <cfRule type="cellIs" dxfId="875" priority="326" stopIfTrue="1" operator="lessThan">
      <formula>40</formula>
    </cfRule>
  </conditionalFormatting>
  <conditionalFormatting sqref="I44:I45">
    <cfRule type="expression" dxfId="874" priority="327" stopIfTrue="1">
      <formula>ISBLANK(I44)</formula>
    </cfRule>
  </conditionalFormatting>
  <conditionalFormatting sqref="I44:I45">
    <cfRule type="cellIs" dxfId="873" priority="328" stopIfTrue="1" operator="equal">
      <formula>"No grades yet"</formula>
    </cfRule>
  </conditionalFormatting>
  <conditionalFormatting sqref="I44:I45">
    <cfRule type="cellIs" dxfId="872" priority="329" stopIfTrue="1" operator="greaterThanOrEqual">
      <formula>70</formula>
    </cfRule>
  </conditionalFormatting>
  <conditionalFormatting sqref="I44:I45">
    <cfRule type="cellIs" dxfId="871" priority="330" stopIfTrue="1" operator="between">
      <formula>60</formula>
      <formula>69.999</formula>
    </cfRule>
  </conditionalFormatting>
  <conditionalFormatting sqref="I44:I45">
    <cfRule type="cellIs" dxfId="870" priority="331" stopIfTrue="1" operator="between">
      <formula>50</formula>
      <formula>59.999</formula>
    </cfRule>
  </conditionalFormatting>
  <conditionalFormatting sqref="I44:I45">
    <cfRule type="cellIs" dxfId="869" priority="332" stopIfTrue="1" operator="between">
      <formula>40</formula>
      <formula>49.999</formula>
    </cfRule>
  </conditionalFormatting>
  <conditionalFormatting sqref="I44:I45">
    <cfRule type="cellIs" dxfId="868" priority="333" stopIfTrue="1" operator="lessThan">
      <formula>40</formula>
    </cfRule>
  </conditionalFormatting>
  <conditionalFormatting sqref="L44:L45">
    <cfRule type="expression" dxfId="867" priority="334" stopIfTrue="1">
      <formula>ISBLANK(L44)</formula>
    </cfRule>
  </conditionalFormatting>
  <conditionalFormatting sqref="L44:L45">
    <cfRule type="cellIs" dxfId="866" priority="335" stopIfTrue="1" operator="equal">
      <formula>"No grades yet"</formula>
    </cfRule>
  </conditionalFormatting>
  <conditionalFormatting sqref="L44:L45">
    <cfRule type="cellIs" dxfId="865" priority="336" stopIfTrue="1" operator="greaterThanOrEqual">
      <formula>70</formula>
    </cfRule>
  </conditionalFormatting>
  <conditionalFormatting sqref="L44:L45">
    <cfRule type="cellIs" dxfId="864" priority="337" stopIfTrue="1" operator="between">
      <formula>60</formula>
      <formula>69.999</formula>
    </cfRule>
  </conditionalFormatting>
  <conditionalFormatting sqref="L44:L45">
    <cfRule type="cellIs" dxfId="863" priority="338" stopIfTrue="1" operator="between">
      <formula>50</formula>
      <formula>59.999</formula>
    </cfRule>
  </conditionalFormatting>
  <conditionalFormatting sqref="L44:L45">
    <cfRule type="cellIs" dxfId="862" priority="339" stopIfTrue="1" operator="between">
      <formula>40</formula>
      <formula>49.999</formula>
    </cfRule>
  </conditionalFormatting>
  <conditionalFormatting sqref="L44:L45">
    <cfRule type="cellIs" dxfId="861" priority="340" stopIfTrue="1" operator="lessThan">
      <formula>40</formula>
    </cfRule>
  </conditionalFormatting>
  <conditionalFormatting sqref="I46">
    <cfRule type="expression" dxfId="860" priority="341" stopIfTrue="1">
      <formula>ISBLANK(I46)</formula>
    </cfRule>
  </conditionalFormatting>
  <conditionalFormatting sqref="I46">
    <cfRule type="cellIs" dxfId="859" priority="342" stopIfTrue="1" operator="equal">
      <formula>"No grades yet"</formula>
    </cfRule>
  </conditionalFormatting>
  <conditionalFormatting sqref="I46">
    <cfRule type="cellIs" dxfId="858" priority="343" stopIfTrue="1" operator="greaterThanOrEqual">
      <formula>70</formula>
    </cfRule>
  </conditionalFormatting>
  <conditionalFormatting sqref="I46">
    <cfRule type="cellIs" dxfId="857" priority="344" stopIfTrue="1" operator="between">
      <formula>60</formula>
      <formula>69.999</formula>
    </cfRule>
  </conditionalFormatting>
  <conditionalFormatting sqref="I46">
    <cfRule type="cellIs" dxfId="856" priority="345" stopIfTrue="1" operator="between">
      <formula>50</formula>
      <formula>59.999</formula>
    </cfRule>
  </conditionalFormatting>
  <conditionalFormatting sqref="I46">
    <cfRule type="cellIs" dxfId="855" priority="346" stopIfTrue="1" operator="between">
      <formula>40</formula>
      <formula>49.999</formula>
    </cfRule>
  </conditionalFormatting>
  <conditionalFormatting sqref="I46">
    <cfRule type="cellIs" dxfId="854" priority="347" stopIfTrue="1" operator="lessThan">
      <formula>40</formula>
    </cfRule>
  </conditionalFormatting>
  <conditionalFormatting sqref="L46">
    <cfRule type="expression" dxfId="853" priority="348" stopIfTrue="1">
      <formula>ISBLANK(L46)</formula>
    </cfRule>
  </conditionalFormatting>
  <conditionalFormatting sqref="L46">
    <cfRule type="cellIs" dxfId="852" priority="349" stopIfTrue="1" operator="equal">
      <formula>"No grades yet"</formula>
    </cfRule>
  </conditionalFormatting>
  <conditionalFormatting sqref="L46">
    <cfRule type="cellIs" dxfId="851" priority="350" stopIfTrue="1" operator="greaterThanOrEqual">
      <formula>70</formula>
    </cfRule>
  </conditionalFormatting>
  <conditionalFormatting sqref="L46">
    <cfRule type="cellIs" dxfId="850" priority="351" stopIfTrue="1" operator="between">
      <formula>60</formula>
      <formula>69.999</formula>
    </cfRule>
  </conditionalFormatting>
  <conditionalFormatting sqref="L46">
    <cfRule type="cellIs" dxfId="849" priority="352" stopIfTrue="1" operator="between">
      <formula>50</formula>
      <formula>59.999</formula>
    </cfRule>
  </conditionalFormatting>
  <conditionalFormatting sqref="L46">
    <cfRule type="cellIs" dxfId="848" priority="353" stopIfTrue="1" operator="between">
      <formula>40</formula>
      <formula>49.999</formula>
    </cfRule>
  </conditionalFormatting>
  <conditionalFormatting sqref="L46">
    <cfRule type="cellIs" dxfId="847" priority="354" stopIfTrue="1" operator="lessThan">
      <formula>40</formula>
    </cfRule>
  </conditionalFormatting>
  <conditionalFormatting sqref="I47">
    <cfRule type="expression" dxfId="846" priority="355" stopIfTrue="1">
      <formula>ISBLANK(I47)</formula>
    </cfRule>
  </conditionalFormatting>
  <conditionalFormatting sqref="I47">
    <cfRule type="cellIs" dxfId="845" priority="356" stopIfTrue="1" operator="equal">
      <formula>"No grades yet"</formula>
    </cfRule>
  </conditionalFormatting>
  <conditionalFormatting sqref="I47">
    <cfRule type="cellIs" dxfId="844" priority="357" stopIfTrue="1" operator="greaterThanOrEqual">
      <formula>70</formula>
    </cfRule>
  </conditionalFormatting>
  <conditionalFormatting sqref="I47">
    <cfRule type="cellIs" dxfId="843" priority="358" stopIfTrue="1" operator="between">
      <formula>60</formula>
      <formula>69.999</formula>
    </cfRule>
  </conditionalFormatting>
  <conditionalFormatting sqref="I47">
    <cfRule type="cellIs" dxfId="842" priority="359" stopIfTrue="1" operator="between">
      <formula>50</formula>
      <formula>59.999</formula>
    </cfRule>
  </conditionalFormatting>
  <conditionalFormatting sqref="I47">
    <cfRule type="cellIs" dxfId="841" priority="360" stopIfTrue="1" operator="between">
      <formula>40</formula>
      <formula>49.999</formula>
    </cfRule>
  </conditionalFormatting>
  <conditionalFormatting sqref="I47">
    <cfRule type="cellIs" dxfId="840" priority="361" stopIfTrue="1" operator="lessThan">
      <formula>40</formula>
    </cfRule>
  </conditionalFormatting>
  <conditionalFormatting sqref="L47">
    <cfRule type="expression" dxfId="839" priority="362" stopIfTrue="1">
      <formula>ISBLANK(L47)</formula>
    </cfRule>
  </conditionalFormatting>
  <conditionalFormatting sqref="L47">
    <cfRule type="cellIs" dxfId="838" priority="363" stopIfTrue="1" operator="equal">
      <formula>"No grades yet"</formula>
    </cfRule>
  </conditionalFormatting>
  <conditionalFormatting sqref="L47">
    <cfRule type="cellIs" dxfId="837" priority="364" stopIfTrue="1" operator="greaterThanOrEqual">
      <formula>70</formula>
    </cfRule>
  </conditionalFormatting>
  <conditionalFormatting sqref="L47">
    <cfRule type="cellIs" dxfId="836" priority="365" stopIfTrue="1" operator="between">
      <formula>60</formula>
      <formula>69.999</formula>
    </cfRule>
  </conditionalFormatting>
  <conditionalFormatting sqref="L47">
    <cfRule type="cellIs" dxfId="835" priority="366" stopIfTrue="1" operator="between">
      <formula>50</formula>
      <formula>59.999</formula>
    </cfRule>
  </conditionalFormatting>
  <conditionalFormatting sqref="L47">
    <cfRule type="cellIs" dxfId="834" priority="367" stopIfTrue="1" operator="between">
      <formula>40</formula>
      <formula>49.999</formula>
    </cfRule>
  </conditionalFormatting>
  <conditionalFormatting sqref="L47">
    <cfRule type="cellIs" dxfId="833" priority="368" stopIfTrue="1" operator="lessThan">
      <formula>40</formula>
    </cfRule>
  </conditionalFormatting>
  <conditionalFormatting sqref="I48">
    <cfRule type="expression" dxfId="832" priority="369" stopIfTrue="1">
      <formula>ISBLANK(I48)</formula>
    </cfRule>
  </conditionalFormatting>
  <conditionalFormatting sqref="I48">
    <cfRule type="cellIs" dxfId="831" priority="370" stopIfTrue="1" operator="equal">
      <formula>"No grades yet"</formula>
    </cfRule>
  </conditionalFormatting>
  <conditionalFormatting sqref="I48">
    <cfRule type="cellIs" dxfId="830" priority="371" stopIfTrue="1" operator="greaterThanOrEqual">
      <formula>70</formula>
    </cfRule>
  </conditionalFormatting>
  <conditionalFormatting sqref="I48">
    <cfRule type="cellIs" dxfId="829" priority="372" stopIfTrue="1" operator="between">
      <formula>60</formula>
      <formula>69.999</formula>
    </cfRule>
  </conditionalFormatting>
  <conditionalFormatting sqref="I48">
    <cfRule type="cellIs" dxfId="828" priority="373" stopIfTrue="1" operator="between">
      <formula>50</formula>
      <formula>59.999</formula>
    </cfRule>
  </conditionalFormatting>
  <conditionalFormatting sqref="I48">
    <cfRule type="cellIs" dxfId="827" priority="374" stopIfTrue="1" operator="between">
      <formula>40</formula>
      <formula>49.999</formula>
    </cfRule>
  </conditionalFormatting>
  <conditionalFormatting sqref="I48">
    <cfRule type="cellIs" dxfId="826" priority="375" stopIfTrue="1" operator="lessThan">
      <formula>40</formula>
    </cfRule>
  </conditionalFormatting>
  <conditionalFormatting sqref="L48">
    <cfRule type="expression" dxfId="825" priority="376" stopIfTrue="1">
      <formula>ISBLANK(L48)</formula>
    </cfRule>
  </conditionalFormatting>
  <conditionalFormatting sqref="L48">
    <cfRule type="cellIs" dxfId="824" priority="377" stopIfTrue="1" operator="equal">
      <formula>"No grades yet"</formula>
    </cfRule>
  </conditionalFormatting>
  <conditionalFormatting sqref="L48">
    <cfRule type="cellIs" dxfId="823" priority="378" stopIfTrue="1" operator="greaterThanOrEqual">
      <formula>70</formula>
    </cfRule>
  </conditionalFormatting>
  <conditionalFormatting sqref="L48">
    <cfRule type="cellIs" dxfId="822" priority="379" stopIfTrue="1" operator="between">
      <formula>60</formula>
      <formula>69.999</formula>
    </cfRule>
  </conditionalFormatting>
  <conditionalFormatting sqref="L48">
    <cfRule type="cellIs" dxfId="821" priority="380" stopIfTrue="1" operator="between">
      <formula>50</formula>
      <formula>59.999</formula>
    </cfRule>
  </conditionalFormatting>
  <conditionalFormatting sqref="L48">
    <cfRule type="cellIs" dxfId="820" priority="381" stopIfTrue="1" operator="between">
      <formula>40</formula>
      <formula>49.999</formula>
    </cfRule>
  </conditionalFormatting>
  <conditionalFormatting sqref="L48">
    <cfRule type="cellIs" dxfId="819" priority="382" stopIfTrue="1" operator="lessThan">
      <formula>40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:P22"/>
  <sheetViews>
    <sheetView topLeftCell="I1" zoomScale="72" workbookViewId="0">
      <selection activeCell="N39" sqref="N39"/>
    </sheetView>
  </sheetViews>
  <sheetFormatPr defaultRowHeight="13.2" x14ac:dyDescent="0.25"/>
  <cols>
    <col min="1" max="1" width="13" customWidth="1"/>
    <col min="2" max="2" width="11.6640625" customWidth="1"/>
    <col min="3" max="3" width="5.88671875" bestFit="1" customWidth="1"/>
    <col min="4" max="4" width="12" customWidth="1"/>
    <col min="5" max="5" width="10.21875" bestFit="1" customWidth="1"/>
    <col min="9" max="9" width="6.33203125" customWidth="1"/>
    <col min="10" max="10" width="16" customWidth="1"/>
    <col min="11" max="11" width="22.109375" customWidth="1"/>
    <col min="12" max="12" width="16.33203125" customWidth="1"/>
    <col min="13" max="13" width="24.88671875" hidden="1" customWidth="1"/>
    <col min="14" max="14" width="21.33203125" hidden="1" customWidth="1"/>
    <col min="15" max="15" width="21.77734375" hidden="1" customWidth="1"/>
    <col min="16" max="16" width="22" hidden="1" customWidth="1"/>
  </cols>
  <sheetData>
    <row r="1" spans="1:16" ht="13.8" thickBot="1" x14ac:dyDescent="0.3">
      <c r="A1" s="1" t="s">
        <v>66</v>
      </c>
    </row>
    <row r="2" spans="1:16" ht="19.2" customHeight="1" thickTop="1" thickBot="1" x14ac:dyDescent="0.3">
      <c r="A2" s="40" t="s">
        <v>67</v>
      </c>
      <c r="B2" s="41" t="s">
        <v>3</v>
      </c>
      <c r="C2" s="41" t="s">
        <v>0</v>
      </c>
      <c r="D2" s="41" t="s">
        <v>93</v>
      </c>
      <c r="E2" s="41" t="s">
        <v>94</v>
      </c>
      <c r="F2" s="226" t="s">
        <v>232</v>
      </c>
      <c r="G2" s="226"/>
      <c r="H2" s="226"/>
      <c r="I2" s="41" t="s">
        <v>4</v>
      </c>
      <c r="J2" s="41" t="s">
        <v>5</v>
      </c>
      <c r="K2" s="41" t="s">
        <v>6</v>
      </c>
      <c r="L2" s="41" t="s">
        <v>7</v>
      </c>
      <c r="M2" s="41" t="s">
        <v>201</v>
      </c>
      <c r="N2" s="41" t="s">
        <v>9</v>
      </c>
      <c r="O2" s="41" t="s">
        <v>202</v>
      </c>
      <c r="P2" s="42" t="s">
        <v>203</v>
      </c>
    </row>
    <row r="3" spans="1:16" ht="13.8" thickTop="1" x14ac:dyDescent="0.25"/>
    <row r="10" spans="1:16" ht="13.8" thickBot="1" x14ac:dyDescent="0.3">
      <c r="A10" s="221" t="s">
        <v>390</v>
      </c>
      <c r="B10" s="222"/>
    </row>
    <row r="11" spans="1:16" ht="16.8" customHeight="1" thickTop="1" thickBot="1" x14ac:dyDescent="0.3">
      <c r="A11" s="40" t="s">
        <v>67</v>
      </c>
      <c r="B11" s="41" t="s">
        <v>3</v>
      </c>
      <c r="C11" s="41" t="s">
        <v>0</v>
      </c>
      <c r="D11" s="41" t="s">
        <v>93</v>
      </c>
      <c r="E11" s="41" t="s">
        <v>94</v>
      </c>
      <c r="F11" s="226" t="s">
        <v>232</v>
      </c>
      <c r="G11" s="226"/>
      <c r="H11" s="226"/>
      <c r="I11" s="41" t="s">
        <v>4</v>
      </c>
      <c r="J11" s="41" t="s">
        <v>5</v>
      </c>
      <c r="K11" s="41" t="s">
        <v>6</v>
      </c>
      <c r="L11" s="41" t="s">
        <v>7</v>
      </c>
      <c r="M11" s="41" t="s">
        <v>201</v>
      </c>
      <c r="N11" s="41" t="s">
        <v>9</v>
      </c>
      <c r="O11" s="41" t="s">
        <v>202</v>
      </c>
      <c r="P11" s="42" t="s">
        <v>203</v>
      </c>
    </row>
    <row r="12" spans="1:16" ht="13.8" thickTop="1" x14ac:dyDescent="0.25"/>
    <row r="20" spans="1:16" ht="13.8" thickBot="1" x14ac:dyDescent="0.3">
      <c r="A20" s="165" t="s">
        <v>391</v>
      </c>
      <c r="B20" s="2"/>
    </row>
    <row r="21" spans="1:16" ht="27.6" thickTop="1" thickBot="1" x14ac:dyDescent="0.3">
      <c r="A21" s="40" t="s">
        <v>67</v>
      </c>
      <c r="B21" s="41" t="s">
        <v>3</v>
      </c>
      <c r="C21" s="41" t="s">
        <v>0</v>
      </c>
      <c r="D21" s="41" t="s">
        <v>93</v>
      </c>
      <c r="E21" s="41" t="s">
        <v>94</v>
      </c>
      <c r="F21" s="226" t="s">
        <v>232</v>
      </c>
      <c r="G21" s="226"/>
      <c r="H21" s="226"/>
      <c r="I21" s="41" t="s">
        <v>4</v>
      </c>
      <c r="J21" s="41" t="s">
        <v>5</v>
      </c>
      <c r="K21" s="41" t="s">
        <v>6</v>
      </c>
      <c r="L21" s="41" t="s">
        <v>7</v>
      </c>
      <c r="M21" s="41" t="s">
        <v>201</v>
      </c>
      <c r="N21" s="41" t="s">
        <v>9</v>
      </c>
      <c r="O21" s="41" t="s">
        <v>202</v>
      </c>
      <c r="P21" s="42" t="s">
        <v>203</v>
      </c>
    </row>
    <row r="22" spans="1:16" ht="13.8" thickTop="1" x14ac:dyDescent="0.25"/>
  </sheetData>
  <mergeCells count="4">
    <mergeCell ref="A10:B10"/>
    <mergeCell ref="F2:H2"/>
    <mergeCell ref="F11:H11"/>
    <mergeCell ref="F21:H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O24"/>
  <sheetViews>
    <sheetView topLeftCell="B1" zoomScale="72" workbookViewId="0">
      <selection activeCell="B34" sqref="B34"/>
    </sheetView>
  </sheetViews>
  <sheetFormatPr defaultRowHeight="13.2" x14ac:dyDescent="0.25"/>
  <cols>
    <col min="1" max="1" width="10.44140625" bestFit="1" customWidth="1"/>
    <col min="2" max="2" width="39.44140625" bestFit="1" customWidth="1"/>
    <col min="3" max="3" width="6" customWidth="1"/>
    <col min="4" max="4" width="10.109375" customWidth="1"/>
    <col min="5" max="5" width="28.109375" customWidth="1"/>
    <col min="6" max="6" width="8.109375" customWidth="1"/>
    <col min="7" max="7" width="43.77734375" customWidth="1"/>
    <col min="8" max="8" width="9.6640625" customWidth="1"/>
    <col min="9" max="9" width="8.88671875" customWidth="1"/>
    <col min="10" max="10" width="9.77734375" customWidth="1"/>
    <col min="11" max="11" width="17.88671875" bestFit="1" customWidth="1"/>
    <col min="12" max="12" width="26.6640625" customWidth="1"/>
    <col min="13" max="13" width="25.21875" hidden="1" customWidth="1"/>
    <col min="14" max="14" width="25" customWidth="1"/>
    <col min="15" max="15" width="26.6640625" hidden="1" customWidth="1"/>
    <col min="16" max="16" width="0" hidden="1" customWidth="1"/>
  </cols>
  <sheetData>
    <row r="1" spans="1:15" ht="13.8" thickBot="1" x14ac:dyDescent="0.3">
      <c r="A1" s="17" t="s">
        <v>150</v>
      </c>
      <c r="B1" s="17" t="s">
        <v>151</v>
      </c>
      <c r="C1" s="17" t="s">
        <v>152</v>
      </c>
      <c r="D1" s="17" t="s">
        <v>153</v>
      </c>
      <c r="E1" s="182" t="s">
        <v>154</v>
      </c>
      <c r="F1" s="183"/>
      <c r="G1" s="184"/>
      <c r="H1" s="17" t="s">
        <v>155</v>
      </c>
      <c r="I1" s="17" t="s">
        <v>5</v>
      </c>
      <c r="J1" s="17" t="s">
        <v>6</v>
      </c>
      <c r="K1" s="17" t="s">
        <v>7</v>
      </c>
      <c r="L1" s="17" t="s">
        <v>201</v>
      </c>
      <c r="M1" s="17" t="s">
        <v>9</v>
      </c>
      <c r="N1" s="17" t="s">
        <v>202</v>
      </c>
      <c r="O1" s="17" t="s">
        <v>203</v>
      </c>
    </row>
    <row r="2" spans="1:15" ht="13.8" thickTop="1" x14ac:dyDescent="0.25">
      <c r="A2" s="235" t="s">
        <v>194</v>
      </c>
      <c r="B2" s="237" t="s">
        <v>195</v>
      </c>
      <c r="C2" s="239">
        <v>10</v>
      </c>
      <c r="D2" s="241">
        <v>0.4</v>
      </c>
      <c r="E2" s="30" t="s">
        <v>196</v>
      </c>
      <c r="F2" s="31">
        <v>0.2</v>
      </c>
      <c r="G2" s="30" t="s">
        <v>197</v>
      </c>
      <c r="H2" s="32"/>
      <c r="I2" s="230">
        <f>IF(F2=1, H2, SUMPRODUCT(H2:H4, F2:F4))</f>
        <v>0</v>
      </c>
      <c r="J2" s="230">
        <f>SUMIF(H2:H4, "&lt;&gt;", F2:F4) / SUMIF(F2:F4, "&lt;&gt;")</f>
        <v>0</v>
      </c>
      <c r="K2" s="230" t="str">
        <f>IFERROR(I2/J2, "No grades yet")</f>
        <v>No grades yet</v>
      </c>
      <c r="L2" s="230">
        <f>IFERROR(IF(J2 = 1, "Completed module", IF(((70 - I2) / (1 - J2)) &gt; 100, "Unattainable", IF(((70 - I2) / (1 - J2)) &lt; 0, "Already attained", ((70 - I2) / (1 - J2))))), "-")</f>
        <v>70</v>
      </c>
      <c r="M2" s="230">
        <f>IFERROR(IF(J2 = 1, "Completed module", IF(((60 - I2) / (1 - J2)) &gt; 100, "Unattainable", IF(((60 - I2) / (1 - J2)) &lt; 0, "Already attained", ((60 - I2) / (1 - J2))))), "-")</f>
        <v>60</v>
      </c>
      <c r="N2" s="230">
        <f>IFERROR(IF(J2 = 1, "Completed module", IF(((50 - I2) / (1 - J2)) &gt; 100, "Unattainable", IF(((50 - I2) / (1 - J2)) &lt; 0, "Already attained", ((50 - I2) / (1 - J2))))), "-")</f>
        <v>50</v>
      </c>
      <c r="O2" s="227">
        <f>IFERROR(IF(J2 = 1, "Completed module", IF(((40 - I2) / (1 - J2)) &gt; 100, "Unattainable", IF(((40 - I2) / (1 - J2)) &lt; 0, "Already attained", ((40 - I2) / (1 - J2))))), "-")</f>
        <v>40</v>
      </c>
    </row>
    <row r="3" spans="1:15" x14ac:dyDescent="0.25">
      <c r="A3" s="243"/>
      <c r="B3" s="245"/>
      <c r="C3" s="247"/>
      <c r="D3" s="249"/>
      <c r="E3" s="27" t="s">
        <v>158</v>
      </c>
      <c r="F3" s="28">
        <v>0.5</v>
      </c>
      <c r="G3" s="27" t="s">
        <v>198</v>
      </c>
      <c r="H3" s="29"/>
      <c r="I3" s="233"/>
      <c r="J3" s="233"/>
      <c r="K3" s="233"/>
      <c r="L3" s="233"/>
      <c r="M3" s="233"/>
      <c r="N3" s="233"/>
      <c r="O3" s="228"/>
    </row>
    <row r="4" spans="1:15" ht="13.8" thickBot="1" x14ac:dyDescent="0.3">
      <c r="A4" s="244"/>
      <c r="B4" s="246"/>
      <c r="C4" s="248"/>
      <c r="D4" s="250"/>
      <c r="E4" s="37" t="s">
        <v>199</v>
      </c>
      <c r="F4" s="38">
        <v>0.3</v>
      </c>
      <c r="G4" s="37" t="s">
        <v>200</v>
      </c>
      <c r="H4" s="39"/>
      <c r="I4" s="234"/>
      <c r="J4" s="234"/>
      <c r="K4" s="234"/>
      <c r="L4" s="234"/>
      <c r="M4" s="234"/>
      <c r="N4" s="234"/>
      <c r="O4" s="229"/>
    </row>
    <row r="5" spans="1:15" ht="13.8" thickTop="1" x14ac:dyDescent="0.25">
      <c r="A5" s="235" t="s">
        <v>156</v>
      </c>
      <c r="B5" s="237" t="s">
        <v>157</v>
      </c>
      <c r="C5" s="239">
        <v>10</v>
      </c>
      <c r="D5" s="241">
        <v>0.4</v>
      </c>
      <c r="E5" s="30" t="s">
        <v>158</v>
      </c>
      <c r="F5" s="31">
        <v>0.6</v>
      </c>
      <c r="G5" s="30" t="s">
        <v>159</v>
      </c>
      <c r="H5" s="32"/>
      <c r="I5" s="230">
        <f>IF(F5=1, H5, SUMPRODUCT(H5:H8, F5:F8))</f>
        <v>0</v>
      </c>
      <c r="J5" s="230">
        <f>SUMIF(H5:H8, "&lt;&gt;", F5:F8) / SUMIF(F5:F8, "&lt;&gt;")</f>
        <v>0</v>
      </c>
      <c r="K5" s="230" t="str">
        <f>IFERROR(I5/J5, "No grades yet")</f>
        <v>No grades yet</v>
      </c>
      <c r="L5" s="230">
        <f>IFERROR(IF(J5 = 1, "Completed module", IF(((70 - I5) / (1 - J5)) &gt; 100, "Unattainable", IF(((70 - I5) / (1 - J5)) &lt; 0, "Already attained", ((70 - I5) / (1 - J5))))), "-")</f>
        <v>70</v>
      </c>
      <c r="M5" s="230">
        <f>IFERROR(IF(J5 = 1, "Completed module", IF(((60 - I5) / (1 - J5)) &gt; 100, "Unattainable", IF(((60 - I5) / (1 - J5)) &lt; 0, "Already attained", ((60 - I5) / (1 - J5))))), "-")</f>
        <v>60</v>
      </c>
      <c r="N5" s="230">
        <f>IFERROR(IF(J5 = 1, "Completed module", IF(((50 - I5) / (1 - J5)) &gt; 100, "Unattainable", IF(((50 - I5) / (1 - J5)) &lt; 0, "Already attained", ((50 - I5) / (1 - J5))))), "-")</f>
        <v>50</v>
      </c>
      <c r="O5" s="227">
        <f>IFERROR(IF(J5 = 1, "Completed module", IF(((40 - I5) / (1 - J5)) &gt; 100, "Unattainable", IF(((40 - I5) / (1 - J5)) &lt; 0, "Already attained", ((40 - I5) / (1 - J5))))), "-")</f>
        <v>40</v>
      </c>
    </row>
    <row r="6" spans="1:15" x14ac:dyDescent="0.25">
      <c r="A6" s="243"/>
      <c r="B6" s="245"/>
      <c r="C6" s="247"/>
      <c r="D6" s="249"/>
      <c r="E6" s="36" t="s">
        <v>163</v>
      </c>
      <c r="F6" s="28">
        <v>0.3</v>
      </c>
      <c r="G6" s="27" t="s">
        <v>160</v>
      </c>
      <c r="H6" s="29"/>
      <c r="I6" s="233"/>
      <c r="J6" s="233"/>
      <c r="K6" s="233"/>
      <c r="L6" s="233"/>
      <c r="M6" s="233"/>
      <c r="N6" s="233"/>
      <c r="O6" s="228"/>
    </row>
    <row r="7" spans="1:15" x14ac:dyDescent="0.25">
      <c r="A7" s="243"/>
      <c r="B7" s="245"/>
      <c r="C7" s="247"/>
      <c r="D7" s="249"/>
      <c r="E7" s="27" t="s">
        <v>196</v>
      </c>
      <c r="F7" s="28">
        <v>0</v>
      </c>
      <c r="G7" s="27" t="s">
        <v>161</v>
      </c>
      <c r="H7" s="29"/>
      <c r="I7" s="233"/>
      <c r="J7" s="233"/>
      <c r="K7" s="233"/>
      <c r="L7" s="233"/>
      <c r="M7" s="233"/>
      <c r="N7" s="233"/>
      <c r="O7" s="228"/>
    </row>
    <row r="8" spans="1:15" ht="13.8" thickBot="1" x14ac:dyDescent="0.3">
      <c r="A8" s="244"/>
      <c r="B8" s="246"/>
      <c r="C8" s="248"/>
      <c r="D8" s="250"/>
      <c r="E8" s="37" t="s">
        <v>196</v>
      </c>
      <c r="F8" s="38">
        <v>0.1</v>
      </c>
      <c r="G8" s="37" t="s">
        <v>162</v>
      </c>
      <c r="H8" s="39"/>
      <c r="I8" s="234"/>
      <c r="J8" s="234"/>
      <c r="K8" s="234"/>
      <c r="L8" s="234"/>
      <c r="M8" s="234"/>
      <c r="N8" s="234"/>
      <c r="O8" s="229"/>
    </row>
    <row r="9" spans="1:15" ht="13.8" thickTop="1" x14ac:dyDescent="0.25">
      <c r="A9" s="235" t="s">
        <v>204</v>
      </c>
      <c r="B9" s="237" t="s">
        <v>205</v>
      </c>
      <c r="C9" s="239">
        <v>5</v>
      </c>
      <c r="D9" s="241">
        <v>0.4</v>
      </c>
      <c r="E9" s="30" t="s">
        <v>206</v>
      </c>
      <c r="F9" s="31">
        <v>0.4</v>
      </c>
      <c r="G9" s="30" t="s">
        <v>206</v>
      </c>
      <c r="H9" s="32"/>
      <c r="I9" s="230">
        <f>IF(F9=1, H9, SUMPRODUCT(H9:H12, F9:F12))</f>
        <v>0</v>
      </c>
      <c r="J9" s="230">
        <f>SUMIF(H9:H12, "&lt;&gt;", F9:F12) / SUMIF(F9:F12, "&lt;&gt;")</f>
        <v>0</v>
      </c>
      <c r="K9" s="230" t="str">
        <f>IFERROR(I9/J9, "No grades yet")</f>
        <v>No grades yet</v>
      </c>
      <c r="L9" s="230">
        <f>IFERROR(IF(J9 = 1, "Completed module", IF(((70 - I9) / (1 - J9)) &gt; 100, "Unattainable", IF(((70 - I9) / (1 - J9)) &lt; 0, "Already attained", ((70 - I9) / (1 - J9))))), "-")</f>
        <v>70</v>
      </c>
      <c r="M9" s="230">
        <f>IFERROR(IF(J9 = 1, "Completed module", IF(((60 - I9) / (1 - J9)) &gt; 100, "Unattainable", IF(((60 - I9) / (1 - J9)) &lt; 0, "Already attained", ((60 - I9) / (1 - J9))))), "-")</f>
        <v>60</v>
      </c>
      <c r="N9" s="230">
        <f>IFERROR(IF(J9 = 1, "Completed module", IF(((50 - I9) / (1 - J9)) &gt; 100, "Unattainable", IF(((50 - I9) / (1 - J9)) &lt; 0, "Already attained", ((50 - I9) / (1 - J9))))), "-")</f>
        <v>50</v>
      </c>
      <c r="O9" s="227">
        <f>IFERROR(IF(J9 = 1, "Completed module", IF(((40 - I9) / (1 - J9)) &gt; 100, "Unattainable", IF(((40 - I9) / (1 - J9)) &lt; 0, "Already attained", ((40 - I9) / (1 - J9))))), "-")</f>
        <v>40</v>
      </c>
    </row>
    <row r="10" spans="1:15" x14ac:dyDescent="0.25">
      <c r="A10" s="243"/>
      <c r="B10" s="245"/>
      <c r="C10" s="247"/>
      <c r="D10" s="249"/>
      <c r="E10" s="27" t="s">
        <v>207</v>
      </c>
      <c r="F10" s="28">
        <v>0.6</v>
      </c>
      <c r="G10" s="27" t="s">
        <v>208</v>
      </c>
      <c r="H10" s="29"/>
      <c r="I10" s="233"/>
      <c r="J10" s="233"/>
      <c r="K10" s="233"/>
      <c r="L10" s="233"/>
      <c r="M10" s="233"/>
      <c r="N10" s="233"/>
      <c r="O10" s="228"/>
    </row>
    <row r="11" spans="1:15" x14ac:dyDescent="0.25">
      <c r="A11" s="243"/>
      <c r="B11" s="245"/>
      <c r="C11" s="247"/>
      <c r="D11" s="249"/>
      <c r="E11" s="27" t="s">
        <v>209</v>
      </c>
      <c r="F11" s="28">
        <v>0</v>
      </c>
      <c r="G11" s="27" t="s">
        <v>210</v>
      </c>
      <c r="H11" s="29"/>
      <c r="I11" s="233"/>
      <c r="J11" s="233"/>
      <c r="K11" s="233"/>
      <c r="L11" s="233"/>
      <c r="M11" s="233"/>
      <c r="N11" s="233"/>
      <c r="O11" s="228"/>
    </row>
    <row r="12" spans="1:15" ht="13.8" thickBot="1" x14ac:dyDescent="0.3">
      <c r="A12" s="244"/>
      <c r="B12" s="246"/>
      <c r="C12" s="248"/>
      <c r="D12" s="250"/>
      <c r="E12" s="37" t="s">
        <v>211</v>
      </c>
      <c r="F12" s="38">
        <v>0</v>
      </c>
      <c r="G12" s="37" t="s">
        <v>212</v>
      </c>
      <c r="H12" s="39"/>
      <c r="I12" s="234"/>
      <c r="J12" s="234"/>
      <c r="K12" s="234"/>
      <c r="L12" s="234"/>
      <c r="M12" s="234"/>
      <c r="N12" s="234"/>
      <c r="O12" s="229"/>
    </row>
    <row r="13" spans="1:15" ht="13.8" thickTop="1" x14ac:dyDescent="0.25">
      <c r="A13" s="235" t="s">
        <v>213</v>
      </c>
      <c r="B13" s="237" t="s">
        <v>214</v>
      </c>
      <c r="C13" s="239">
        <v>10</v>
      </c>
      <c r="D13" s="241">
        <v>0.4</v>
      </c>
      <c r="E13" s="30" t="s">
        <v>196</v>
      </c>
      <c r="F13" s="31">
        <v>0.1</v>
      </c>
      <c r="G13" s="30" t="s">
        <v>215</v>
      </c>
      <c r="H13" s="32"/>
      <c r="I13" s="230">
        <f>IF(F13=1, H13, SUMPRODUCT(H13:H15, F13:F15))</f>
        <v>0</v>
      </c>
      <c r="J13" s="230">
        <f>SUMIF(H13:H15, "&lt;&gt;", F13:F15) / SUMIF(F13:F15, "&lt;&gt;")</f>
        <v>0</v>
      </c>
      <c r="K13" s="230" t="str">
        <f>IFERROR(I13/J13, "No grades yet")</f>
        <v>No grades yet</v>
      </c>
      <c r="L13" s="230">
        <f>IFERROR(IF(J13 = 1, "Completed module", IF(((70 - I13) / (1 - J13)) &gt; 100, "Unattainable", IF(((70 - I13) / (1 - J13)) &lt; 0, "Already attained", ((70 - I13) / (1 - J13))))), "-")</f>
        <v>70</v>
      </c>
      <c r="M13" s="230">
        <f>IFERROR(IF(J13 = 1, "Completed module", IF(((60 - I13) / (1 - J13)) &gt; 100, "Unattainable", IF(((60 - I13) / (1 - J13)) &lt; 0, "Already attained", ((60 - I13) / (1 - J13))))), "-")</f>
        <v>60</v>
      </c>
      <c r="N13" s="230">
        <f>IFERROR(IF(J13 = 1, "Completed module", IF(((50 - I13) / (1 - J13)) &gt; 100, "Unattainable", IF(((50 - I13) / (1 - J13)) &lt; 0, "Already attained", ((50 - I13) / (1 - J13))))), "-")</f>
        <v>50</v>
      </c>
      <c r="O13" s="227">
        <f>IFERROR(IF(J13 = 1, "Completed module", IF(((40 - I13) / (1 - J13)) &gt; 100, "Unattainable", IF(((40 - I13) / (1 - J13)) &lt; 0, "Already attained", ((40 - I13) / (1 - J13))))), "-")</f>
        <v>40</v>
      </c>
    </row>
    <row r="14" spans="1:15" x14ac:dyDescent="0.25">
      <c r="A14" s="243"/>
      <c r="B14" s="245"/>
      <c r="C14" s="247"/>
      <c r="D14" s="249"/>
      <c r="E14" s="27" t="s">
        <v>196</v>
      </c>
      <c r="F14" s="28">
        <v>0.1</v>
      </c>
      <c r="G14" s="27" t="s">
        <v>216</v>
      </c>
      <c r="H14" s="29"/>
      <c r="I14" s="233"/>
      <c r="J14" s="233"/>
      <c r="K14" s="233"/>
      <c r="L14" s="233"/>
      <c r="M14" s="233"/>
      <c r="N14" s="233"/>
      <c r="O14" s="228"/>
    </row>
    <row r="15" spans="1:15" ht="13.8" thickBot="1" x14ac:dyDescent="0.3">
      <c r="A15" s="244"/>
      <c r="B15" s="246"/>
      <c r="C15" s="248"/>
      <c r="D15" s="250"/>
      <c r="E15" s="37" t="s">
        <v>158</v>
      </c>
      <c r="F15" s="38">
        <v>0.8</v>
      </c>
      <c r="G15" s="37" t="s">
        <v>217</v>
      </c>
      <c r="H15" s="39"/>
      <c r="I15" s="234"/>
      <c r="J15" s="234"/>
      <c r="K15" s="234"/>
      <c r="L15" s="234"/>
      <c r="M15" s="234"/>
      <c r="N15" s="234"/>
      <c r="O15" s="229"/>
    </row>
    <row r="16" spans="1:15" ht="13.8" thickTop="1" x14ac:dyDescent="0.25">
      <c r="A16" s="235" t="s">
        <v>218</v>
      </c>
      <c r="B16" s="237" t="s">
        <v>219</v>
      </c>
      <c r="C16" s="239">
        <v>15</v>
      </c>
      <c r="D16" s="241">
        <v>0.4</v>
      </c>
      <c r="E16" s="30" t="s">
        <v>220</v>
      </c>
      <c r="F16" s="31">
        <v>0.15</v>
      </c>
      <c r="G16" s="30" t="s">
        <v>221</v>
      </c>
      <c r="H16" s="32"/>
      <c r="I16" s="230">
        <f>IF(F16=1, H16, SUMPRODUCT(H16:H21, F16:F21))</f>
        <v>0</v>
      </c>
      <c r="J16" s="230">
        <f>SUMIF(H16:H21, "&lt;&gt;", F16:F21) / SUMIF(F16:F21, "&lt;&gt;")</f>
        <v>0</v>
      </c>
      <c r="K16" s="230" t="str">
        <f>IFERROR(I16/J16, "No grades yet")</f>
        <v>No grades yet</v>
      </c>
      <c r="L16" s="230">
        <f>IFERROR(IF(J16 = 1, "Completed module", IF(((70 - I16) / (1 - J16)) &gt; 100, "Unattainable", IF(((70 - I16) / (1 - J16)) &lt; 0, "Already attained", ((70 - I16) / (1 - J16))))), "-")</f>
        <v>70</v>
      </c>
      <c r="M16" s="230">
        <f>IFERROR(IF(J16 = 1, "Completed module", IF(((60 - I16) / (1 - J16)) &gt; 100, "Unattainable", IF(((60 - I16) / (1 - J16)) &lt; 0, "Already attained", ((60 - I16) / (1 - J16))))), "-")</f>
        <v>60</v>
      </c>
      <c r="N16" s="230">
        <f>IFERROR(IF(J16 = 1, "Completed module", IF(((50 - I16) / (1 - J16)) &gt; 100, "Unattainable", IF(((50 - I16) / (1 - J16)) &lt; 0, "Already attained", ((50 - I16) / (1 - J16))))), "-")</f>
        <v>50</v>
      </c>
      <c r="O16" s="227">
        <f>IFERROR(IF(J16 = 1, "Completed module", IF(((40 - I16) / (1 - J16)) &gt; 100, "Unattainable", IF(((40 - I16) / (1 - J16)) &lt; 0, "Already attained", ((40 - I16) / (1 - J16))))), "-")</f>
        <v>40</v>
      </c>
    </row>
    <row r="17" spans="1:15" x14ac:dyDescent="0.25">
      <c r="A17" s="243"/>
      <c r="B17" s="245"/>
      <c r="C17" s="247"/>
      <c r="D17" s="249"/>
      <c r="E17" s="27" t="s">
        <v>220</v>
      </c>
      <c r="F17" s="28">
        <v>0.35</v>
      </c>
      <c r="G17" s="27" t="s">
        <v>222</v>
      </c>
      <c r="H17" s="29"/>
      <c r="I17" s="233"/>
      <c r="J17" s="233"/>
      <c r="K17" s="233"/>
      <c r="L17" s="233"/>
      <c r="M17" s="233"/>
      <c r="N17" s="233"/>
      <c r="O17" s="228"/>
    </row>
    <row r="18" spans="1:15" x14ac:dyDescent="0.25">
      <c r="A18" s="243"/>
      <c r="B18" s="245"/>
      <c r="C18" s="247"/>
      <c r="D18" s="249"/>
      <c r="E18" s="27" t="s">
        <v>196</v>
      </c>
      <c r="F18" s="28">
        <v>0.1</v>
      </c>
      <c r="G18" s="27" t="s">
        <v>223</v>
      </c>
      <c r="H18" s="29"/>
      <c r="I18" s="233"/>
      <c r="J18" s="233"/>
      <c r="K18" s="233"/>
      <c r="L18" s="233"/>
      <c r="M18" s="233"/>
      <c r="N18" s="233"/>
      <c r="O18" s="228"/>
    </row>
    <row r="19" spans="1:15" x14ac:dyDescent="0.25">
      <c r="A19" s="243"/>
      <c r="B19" s="245"/>
      <c r="C19" s="247"/>
      <c r="D19" s="249"/>
      <c r="E19" s="27" t="s">
        <v>196</v>
      </c>
      <c r="F19" s="28">
        <v>0.1</v>
      </c>
      <c r="G19" s="27" t="s">
        <v>224</v>
      </c>
      <c r="H19" s="29"/>
      <c r="I19" s="233"/>
      <c r="J19" s="233"/>
      <c r="K19" s="233"/>
      <c r="L19" s="233"/>
      <c r="M19" s="233"/>
      <c r="N19" s="233"/>
      <c r="O19" s="228"/>
    </row>
    <row r="20" spans="1:15" x14ac:dyDescent="0.25">
      <c r="A20" s="243"/>
      <c r="B20" s="245"/>
      <c r="C20" s="247"/>
      <c r="D20" s="249"/>
      <c r="E20" s="27" t="s">
        <v>225</v>
      </c>
      <c r="F20" s="28">
        <v>0.15</v>
      </c>
      <c r="G20" s="27" t="s">
        <v>226</v>
      </c>
      <c r="H20" s="29"/>
      <c r="I20" s="233"/>
      <c r="J20" s="233"/>
      <c r="K20" s="233"/>
      <c r="L20" s="233"/>
      <c r="M20" s="233"/>
      <c r="N20" s="233"/>
      <c r="O20" s="228"/>
    </row>
    <row r="21" spans="1:15" ht="13.8" thickBot="1" x14ac:dyDescent="0.3">
      <c r="A21" s="244"/>
      <c r="B21" s="246"/>
      <c r="C21" s="248"/>
      <c r="D21" s="250"/>
      <c r="E21" s="37" t="s">
        <v>207</v>
      </c>
      <c r="F21" s="38">
        <v>0.15</v>
      </c>
      <c r="G21" s="37" t="s">
        <v>227</v>
      </c>
      <c r="H21" s="39"/>
      <c r="I21" s="234"/>
      <c r="J21" s="234"/>
      <c r="K21" s="234"/>
      <c r="L21" s="234"/>
      <c r="M21" s="234"/>
      <c r="N21" s="234"/>
      <c r="O21" s="229"/>
    </row>
    <row r="22" spans="1:15" ht="13.8" thickTop="1" x14ac:dyDescent="0.25">
      <c r="A22" s="235" t="s">
        <v>228</v>
      </c>
      <c r="B22" s="237" t="s">
        <v>229</v>
      </c>
      <c r="C22" s="239">
        <v>10</v>
      </c>
      <c r="D22" s="241">
        <v>0.4</v>
      </c>
      <c r="E22" s="30" t="s">
        <v>158</v>
      </c>
      <c r="F22" s="31">
        <v>0.9</v>
      </c>
      <c r="G22" s="30" t="s">
        <v>230</v>
      </c>
      <c r="H22" s="32"/>
      <c r="I22" s="230">
        <f>IF(F22=1, H22, SUMPRODUCT(H22:H23, F22:F23))</f>
        <v>0</v>
      </c>
      <c r="J22" s="230">
        <f>SUMIF(H22:H23, "&lt;&gt;", F22:F23) / SUMIF(F22:F23, "&lt;&gt;")</f>
        <v>0</v>
      </c>
      <c r="K22" s="230" t="str">
        <f>IFERROR(I22/J22, "No grades yet")</f>
        <v>No grades yet</v>
      </c>
      <c r="L22" s="230">
        <f>IFERROR(IF(J22 = 1, "Completed module", IF(((70 - I22) / (1 - J22)) &gt; 100, "Unattainable", IF(((70 - I22) / (1 - J22)) &lt; 0, "Already attained", ((70 - I22) / (1 - J22))))), "-")</f>
        <v>70</v>
      </c>
      <c r="M22" s="230">
        <f>IFERROR(IF(J22 = 1, "Completed module", IF(((60 - I22) / (1 - J22)) &gt; 100, "Unattainable", IF(((60 - I22) / (1 - J22)) &lt; 0, "Already attained", ((60 - I22) / (1 - J22))))), "-")</f>
        <v>60</v>
      </c>
      <c r="N22" s="230">
        <f>IFERROR(IF(J22 = 1, "Completed module", IF(((50 - I22) / (1 - J22)) &gt; 100, "Unattainable", IF(((50 - I22) / (1 - J22)) &lt; 0, "Already attained", ((50 - I22) / (1 - J22))))), "-")</f>
        <v>50</v>
      </c>
      <c r="O22" s="227">
        <f>IFERROR(IF(J22 = 1, "Completed module", IF(((40 - I22) / (1 - J22)) &gt; 100, "Unattainable", IF(((40 - I22) / (1 - J22)) &lt; 0, "Already attained", ((40 - I22) / (1 - J22))))), "-")</f>
        <v>40</v>
      </c>
    </row>
    <row r="23" spans="1:15" ht="13.8" thickBot="1" x14ac:dyDescent="0.3">
      <c r="A23" s="236"/>
      <c r="B23" s="238"/>
      <c r="C23" s="240"/>
      <c r="D23" s="242"/>
      <c r="E23" s="33" t="s">
        <v>207</v>
      </c>
      <c r="F23" s="34">
        <v>0.1</v>
      </c>
      <c r="G23" s="33" t="s">
        <v>231</v>
      </c>
      <c r="H23" s="35"/>
      <c r="I23" s="231"/>
      <c r="J23" s="231"/>
      <c r="K23" s="231"/>
      <c r="L23" s="231"/>
      <c r="M23" s="231"/>
      <c r="N23" s="231"/>
      <c r="O23" s="232"/>
    </row>
    <row r="24" spans="1:15" ht="13.8" thickTop="1" x14ac:dyDescent="0.25"/>
  </sheetData>
  <mergeCells count="67">
    <mergeCell ref="N2:N4"/>
    <mergeCell ref="O2:O4"/>
    <mergeCell ref="N5:N8"/>
    <mergeCell ref="O5:O8"/>
    <mergeCell ref="M2:M4"/>
    <mergeCell ref="I5:I8"/>
    <mergeCell ref="J5:J8"/>
    <mergeCell ref="K5:K8"/>
    <mergeCell ref="L5:L8"/>
    <mergeCell ref="M5:M8"/>
    <mergeCell ref="I2:I4"/>
    <mergeCell ref="J2:J4"/>
    <mergeCell ref="K2:K4"/>
    <mergeCell ref="L2:L4"/>
    <mergeCell ref="E1:G1"/>
    <mergeCell ref="D2:D4"/>
    <mergeCell ref="D5:D8"/>
    <mergeCell ref="A9:A12"/>
    <mergeCell ref="B9:B12"/>
    <mergeCell ref="C9:C12"/>
    <mergeCell ref="D9:D12"/>
    <mergeCell ref="A5:A8"/>
    <mergeCell ref="B5:B8"/>
    <mergeCell ref="C5:C8"/>
    <mergeCell ref="A2:A4"/>
    <mergeCell ref="B2:B4"/>
    <mergeCell ref="C2:C4"/>
    <mergeCell ref="A22:A23"/>
    <mergeCell ref="B22:B23"/>
    <mergeCell ref="C22:C23"/>
    <mergeCell ref="D22:D23"/>
    <mergeCell ref="I9:I12"/>
    <mergeCell ref="I16:I21"/>
    <mergeCell ref="A13:A15"/>
    <mergeCell ref="B13:B15"/>
    <mergeCell ref="C13:C15"/>
    <mergeCell ref="D13:D15"/>
    <mergeCell ref="A16:A21"/>
    <mergeCell ref="B16:B21"/>
    <mergeCell ref="C16:C21"/>
    <mergeCell ref="D16:D21"/>
    <mergeCell ref="O9:O12"/>
    <mergeCell ref="I13:I15"/>
    <mergeCell ref="J13:J15"/>
    <mergeCell ref="K13:K15"/>
    <mergeCell ref="L13:L15"/>
    <mergeCell ref="M13:M15"/>
    <mergeCell ref="N13:N15"/>
    <mergeCell ref="O13:O15"/>
    <mergeCell ref="J9:J12"/>
    <mergeCell ref="K9:K12"/>
    <mergeCell ref="L9:L12"/>
    <mergeCell ref="M9:M12"/>
    <mergeCell ref="N9:N12"/>
    <mergeCell ref="O16:O21"/>
    <mergeCell ref="I22:I23"/>
    <mergeCell ref="J22:J23"/>
    <mergeCell ref="K22:K23"/>
    <mergeCell ref="L22:L23"/>
    <mergeCell ref="M22:M23"/>
    <mergeCell ref="N22:N23"/>
    <mergeCell ref="O22:O23"/>
    <mergeCell ref="J16:J21"/>
    <mergeCell ref="K16:K21"/>
    <mergeCell ref="L16:L21"/>
    <mergeCell ref="M16:M21"/>
    <mergeCell ref="N16:N2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O27"/>
  <sheetViews>
    <sheetView zoomScale="85" workbookViewId="0">
      <selection activeCell="F16" sqref="F16"/>
    </sheetView>
  </sheetViews>
  <sheetFormatPr defaultColWidth="12.6640625" defaultRowHeight="15.75" customHeight="1" x14ac:dyDescent="0.25"/>
  <cols>
    <col min="2" max="2" width="22.44140625" customWidth="1"/>
    <col min="6" max="6" width="10.21875" customWidth="1"/>
    <col min="7" max="7" width="33.33203125" customWidth="1"/>
    <col min="8" max="8" width="9" customWidth="1"/>
    <col min="9" max="9" width="14.21875" hidden="1" customWidth="1"/>
    <col min="10" max="10" width="13.88671875" hidden="1" customWidth="1"/>
    <col min="11" max="11" width="17.5546875" customWidth="1"/>
    <col min="12" max="12" width="20.88671875" customWidth="1"/>
    <col min="13" max="13" width="22.44140625" customWidth="1"/>
  </cols>
  <sheetData>
    <row r="1" spans="1:15" ht="13.8" thickBot="1" x14ac:dyDescent="0.3">
      <c r="A1" s="4" t="s">
        <v>67</v>
      </c>
      <c r="B1" s="4" t="s">
        <v>3</v>
      </c>
      <c r="C1" s="5" t="s">
        <v>0</v>
      </c>
      <c r="D1" s="5" t="s">
        <v>94</v>
      </c>
      <c r="E1" s="5" t="s">
        <v>1</v>
      </c>
      <c r="F1" s="5" t="s">
        <v>2</v>
      </c>
      <c r="G1" s="5" t="s">
        <v>3</v>
      </c>
      <c r="H1" s="5" t="s">
        <v>4</v>
      </c>
      <c r="I1" s="5" t="s">
        <v>5</v>
      </c>
      <c r="J1" s="5" t="s">
        <v>6</v>
      </c>
      <c r="K1" s="6" t="s">
        <v>7</v>
      </c>
      <c r="L1" s="5" t="s">
        <v>8</v>
      </c>
      <c r="M1" s="7" t="s">
        <v>9</v>
      </c>
      <c r="N1" s="17" t="s">
        <v>202</v>
      </c>
      <c r="O1" s="17" t="s">
        <v>203</v>
      </c>
    </row>
    <row r="2" spans="1:15" ht="13.8" thickTop="1" x14ac:dyDescent="0.25">
      <c r="A2" s="211" t="s">
        <v>144</v>
      </c>
      <c r="B2" s="196" t="s">
        <v>42</v>
      </c>
      <c r="C2" s="199">
        <v>5</v>
      </c>
      <c r="D2" s="205">
        <v>0.4</v>
      </c>
      <c r="E2" s="47" t="s">
        <v>19</v>
      </c>
      <c r="F2" s="48">
        <v>0.8</v>
      </c>
      <c r="G2" s="49" t="s">
        <v>43</v>
      </c>
      <c r="H2" s="50">
        <v>30</v>
      </c>
      <c r="I2" s="202">
        <f>IF(F2=1, H2, SUMPRODUCT(H2:H4, F2:F4))</f>
        <v>35</v>
      </c>
      <c r="J2" s="202">
        <f>SUMIF(H2:H4, "&lt;&gt;", F2:F4) / SUMIF(F2:F4, "&lt;&gt;")</f>
        <v>1</v>
      </c>
      <c r="K2" s="202">
        <f>IFERROR(I2/J2, "No grades yet")</f>
        <v>35</v>
      </c>
      <c r="L2" s="193" t="str">
        <f>IFERROR(IF(J2 = 1, "Completed module", IF(((70 - I2) / (1 - J2)) &gt; 100, "Unattainable", IF(((70 - I2) / (1 - J2)) &lt; 0, "Already attained", ((70 - I2) / (1 - J2))))), "-")</f>
        <v>Completed module</v>
      </c>
      <c r="M2" s="193" t="str">
        <f>IFERROR(IF(J2 = 1, "Completed module", IF(((60 - I2) / (1 - J2)) &gt; 100, "Unattainable", IF(((60 - I2) / (1 - J2)) &lt; 0, "Already attained", ((60 - I2) / (1 - J2))))), "-")</f>
        <v>Completed module</v>
      </c>
      <c r="N2" s="166" t="str">
        <f>IFERROR(IF(J2 = 1, "Completed module", IF(((50 - I2) / (1 - J2)) &gt; 100, "Unattainable", IF(((50 - I2) / (1 - J2)) &lt; 0, "Already attained", ((50 - I2) / (1 - J2))))), "-")</f>
        <v>Completed module</v>
      </c>
      <c r="O2" s="189" t="str">
        <f>IFERROR(IF(J2 = 1, "Completed module", IF(((40 - I2) / (1 - J2)) &gt; 100, "Unattainable", IF(((40 - I2) / (1 - J2)) &lt; 0, "Already attained", ((40 - I2) / (1 - J2))))), "-")</f>
        <v>Completed module</v>
      </c>
    </row>
    <row r="3" spans="1:15" ht="13.2" x14ac:dyDescent="0.25">
      <c r="A3" s="212"/>
      <c r="B3" s="197"/>
      <c r="C3" s="200"/>
      <c r="D3" s="200"/>
      <c r="E3" s="45" t="s">
        <v>34</v>
      </c>
      <c r="F3" s="44">
        <v>0.1</v>
      </c>
      <c r="G3" s="45" t="s">
        <v>44</v>
      </c>
      <c r="H3" s="46">
        <v>40</v>
      </c>
      <c r="I3" s="203"/>
      <c r="J3" s="203"/>
      <c r="K3" s="203"/>
      <c r="L3" s="194"/>
      <c r="M3" s="194"/>
      <c r="N3" s="167"/>
      <c r="O3" s="191"/>
    </row>
    <row r="4" spans="1:15" ht="13.8" thickBot="1" x14ac:dyDescent="0.3">
      <c r="A4" s="213"/>
      <c r="B4" s="198"/>
      <c r="C4" s="201"/>
      <c r="D4" s="201"/>
      <c r="E4" s="54" t="s">
        <v>34</v>
      </c>
      <c r="F4" s="55">
        <v>0.1</v>
      </c>
      <c r="G4" s="54" t="s">
        <v>45</v>
      </c>
      <c r="H4" s="56">
        <v>70</v>
      </c>
      <c r="I4" s="204"/>
      <c r="J4" s="204"/>
      <c r="K4" s="204"/>
      <c r="L4" s="195"/>
      <c r="M4" s="195"/>
      <c r="N4" s="168"/>
      <c r="O4" s="190"/>
    </row>
    <row r="5" spans="1:15" ht="13.8" thickTop="1" x14ac:dyDescent="0.25">
      <c r="A5" s="211" t="s">
        <v>139</v>
      </c>
      <c r="B5" s="196" t="s">
        <v>10</v>
      </c>
      <c r="C5" s="199">
        <v>10</v>
      </c>
      <c r="D5" s="205">
        <v>0.4</v>
      </c>
      <c r="E5" s="49" t="s">
        <v>11</v>
      </c>
      <c r="F5" s="48">
        <v>0.25</v>
      </c>
      <c r="G5" s="49" t="s">
        <v>12</v>
      </c>
      <c r="H5" s="50"/>
      <c r="I5" s="202">
        <f>IF(F5=1, H5, SUMPRODUCT(H5:H8, F5:F8))</f>
        <v>58</v>
      </c>
      <c r="J5" s="202">
        <f>SUMIF(H5:H8, "&lt;&gt;", F5:F8) / SUMIF(F5:F8, "&lt;&gt;")</f>
        <v>0.75</v>
      </c>
      <c r="K5" s="202">
        <f>IFERROR(I5/J5, "No grades yet")</f>
        <v>77.333333333333329</v>
      </c>
      <c r="L5" s="193">
        <f>IFERROR(IF(J5 = 1, "Completed module", IF(((70 - I5) / (1 - J5)) &gt; 100, "Unattainable", IF(((70 - I5) / (1 - J5)) &lt; 0, "Already attained", ((70 - I5) / (1 - J5))))), "-")</f>
        <v>48</v>
      </c>
      <c r="M5" s="193">
        <f>IFERROR(IF(J5 = 1, "Completed module", IF(((60 - I5) / (1 - J5)) &gt; 100, "Unattainable", IF(((60 - I5) / (1 - J5)) &lt; 0, "Already attained", ((60 - I5) / (1 - J5))))), "-")</f>
        <v>8</v>
      </c>
      <c r="N5" s="166" t="str">
        <f>IFERROR(IF(J5 = 1, "Completed module", IF(((50 - I5) / (1 - J5)) &gt; 100, "Unattainable", IF(((50 - I5) / (1 - J5)) &lt; 0, "Already attained", ((50 - I5) / (1 - J5))))), "-")</f>
        <v>Already attained</v>
      </c>
      <c r="O5" s="189" t="str">
        <f>IFERROR(IF(J5 = 1, "Completed module", IF(((40 - I5) / (1 - J5)) &gt; 100, "Unattainable", IF(((40 - I5) / (1 - J5)) &lt; 0, "Already attained", ((40 - I5) / (1 - J5))))), "-")</f>
        <v>Already attained</v>
      </c>
    </row>
    <row r="6" spans="1:15" ht="13.2" x14ac:dyDescent="0.25">
      <c r="A6" s="212"/>
      <c r="B6" s="197"/>
      <c r="C6" s="200"/>
      <c r="D6" s="200"/>
      <c r="E6" s="45" t="s">
        <v>13</v>
      </c>
      <c r="F6" s="44">
        <v>0.25</v>
      </c>
      <c r="G6" s="45" t="s">
        <v>14</v>
      </c>
      <c r="H6" s="46">
        <v>73</v>
      </c>
      <c r="I6" s="203"/>
      <c r="J6" s="203"/>
      <c r="K6" s="203"/>
      <c r="L6" s="194"/>
      <c r="M6" s="194"/>
      <c r="N6" s="167"/>
      <c r="O6" s="191"/>
    </row>
    <row r="7" spans="1:15" ht="13.2" x14ac:dyDescent="0.25">
      <c r="A7" s="212"/>
      <c r="B7" s="197"/>
      <c r="C7" s="200"/>
      <c r="D7" s="200"/>
      <c r="E7" s="45" t="s">
        <v>15</v>
      </c>
      <c r="F7" s="44">
        <v>0.25</v>
      </c>
      <c r="G7" s="45" t="s">
        <v>16</v>
      </c>
      <c r="H7" s="46">
        <v>69</v>
      </c>
      <c r="I7" s="203"/>
      <c r="J7" s="203"/>
      <c r="K7" s="203"/>
      <c r="L7" s="194"/>
      <c r="M7" s="194"/>
      <c r="N7" s="167"/>
      <c r="O7" s="191"/>
    </row>
    <row r="8" spans="1:15" ht="13.8" thickBot="1" x14ac:dyDescent="0.3">
      <c r="A8" s="213"/>
      <c r="B8" s="198"/>
      <c r="C8" s="201"/>
      <c r="D8" s="201"/>
      <c r="E8" s="54" t="s">
        <v>11</v>
      </c>
      <c r="F8" s="55">
        <v>0.25</v>
      </c>
      <c r="G8" s="54" t="s">
        <v>17</v>
      </c>
      <c r="H8" s="56">
        <v>90</v>
      </c>
      <c r="I8" s="204"/>
      <c r="J8" s="204"/>
      <c r="K8" s="204"/>
      <c r="L8" s="195"/>
      <c r="M8" s="195"/>
      <c r="N8" s="168"/>
      <c r="O8" s="190"/>
    </row>
    <row r="9" spans="1:15" ht="13.8" thickTop="1" x14ac:dyDescent="0.25">
      <c r="A9" s="211" t="s">
        <v>145</v>
      </c>
      <c r="B9" s="196" t="s">
        <v>46</v>
      </c>
      <c r="C9" s="199">
        <v>10</v>
      </c>
      <c r="D9" s="205">
        <v>0.4</v>
      </c>
      <c r="E9" s="49" t="s">
        <v>19</v>
      </c>
      <c r="F9" s="48">
        <v>0.7</v>
      </c>
      <c r="G9" s="49" t="s">
        <v>47</v>
      </c>
      <c r="H9" s="50"/>
      <c r="I9" s="202">
        <f>IF(F9=1, H9, SUMPRODUCT(H9:H11, F9:F11))</f>
        <v>14.55</v>
      </c>
      <c r="J9" s="202">
        <f>SUMIF(H9:H11, "&lt;&gt;", F9:F11) / SUMIF(F9:F11, "&lt;&gt;")</f>
        <v>0.3</v>
      </c>
      <c r="K9" s="202">
        <f>IFERROR(I9/J9, "No grades yet")</f>
        <v>48.500000000000007</v>
      </c>
      <c r="L9" s="193">
        <f>IFERROR(IF(J9 = 1, "Completed module", IF(((70 - I9) / (1 - J9)) &gt; 100, "Unattainable", IF(((70 - I9) / (1 - J9)) &lt; 0, "Already attained", ((70 - I9) / (1 - J9))))), "-")</f>
        <v>79.214285714285722</v>
      </c>
      <c r="M9" s="193">
        <f>IFERROR(IF(J9 = 1, "Completed module", IF(((60 - I9) / (1 - J9)) &gt; 100, "Unattainable", IF(((60 - I9) / (1 - J9)) &lt; 0, "Already attained", ((60 - I9) / (1 - J9))))), "-")</f>
        <v>64.928571428571431</v>
      </c>
      <c r="N9" s="166">
        <f>IFERROR(IF(J9 = 1, "Completed module", IF(((50 - I9) / (1 - J9)) &gt; 100, "Unattainable", IF(((50 - I9) / (1 - J9)) &lt; 0, "Already attained", ((50 - I9) / (1 - J9))))), "-")</f>
        <v>50.642857142857153</v>
      </c>
      <c r="O9" s="189">
        <f>IFERROR(IF(J9 = 1, "Completed module", IF(((40 - I9) / (1 - J9)) &gt; 100, "Unattainable", IF(((40 - I9) / (1 - J9)) &lt; 0, "Already attained", ((40 - I9) / (1 - J9))))), "-")</f>
        <v>36.357142857142861</v>
      </c>
    </row>
    <row r="10" spans="1:15" ht="13.2" x14ac:dyDescent="0.25">
      <c r="A10" s="212"/>
      <c r="B10" s="197"/>
      <c r="C10" s="200"/>
      <c r="D10" s="200"/>
      <c r="E10" s="45" t="s">
        <v>31</v>
      </c>
      <c r="F10" s="44">
        <v>0.15</v>
      </c>
      <c r="G10" s="45" t="s">
        <v>48</v>
      </c>
      <c r="H10" s="46">
        <v>45</v>
      </c>
      <c r="I10" s="203"/>
      <c r="J10" s="203"/>
      <c r="K10" s="203"/>
      <c r="L10" s="194"/>
      <c r="M10" s="194"/>
      <c r="N10" s="167"/>
      <c r="O10" s="191"/>
    </row>
    <row r="11" spans="1:15" ht="13.8" thickBot="1" x14ac:dyDescent="0.3">
      <c r="A11" s="213"/>
      <c r="B11" s="198"/>
      <c r="C11" s="201"/>
      <c r="D11" s="201"/>
      <c r="E11" s="54" t="s">
        <v>49</v>
      </c>
      <c r="F11" s="55">
        <v>0.15</v>
      </c>
      <c r="G11" s="54" t="s">
        <v>50</v>
      </c>
      <c r="H11" s="56">
        <v>52</v>
      </c>
      <c r="I11" s="204"/>
      <c r="J11" s="204"/>
      <c r="K11" s="204"/>
      <c r="L11" s="195"/>
      <c r="M11" s="195"/>
      <c r="N11" s="168"/>
      <c r="O11" s="190"/>
    </row>
    <row r="12" spans="1:15" ht="13.8" thickTop="1" x14ac:dyDescent="0.25">
      <c r="A12" s="211" t="s">
        <v>146</v>
      </c>
      <c r="B12" s="196" t="s">
        <v>51</v>
      </c>
      <c r="C12" s="199">
        <v>10</v>
      </c>
      <c r="D12" s="205">
        <v>0.4</v>
      </c>
      <c r="E12" s="49" t="s">
        <v>52</v>
      </c>
      <c r="F12" s="48">
        <v>0.3</v>
      </c>
      <c r="G12" s="49" t="s">
        <v>53</v>
      </c>
      <c r="H12" s="50"/>
      <c r="I12" s="202">
        <f>IF(F12=1, H12, SUMPRODUCT(H12:H16, F12:F16))</f>
        <v>0</v>
      </c>
      <c r="J12" s="202">
        <f>SUMIF(H12:H16, "&lt;&gt;", F12:F16) / SUMIF(F12:F16, "&lt;&gt;")</f>
        <v>0</v>
      </c>
      <c r="K12" s="202" t="str">
        <f>IFERROR(I12/J12, "No grades yet")</f>
        <v>No grades yet</v>
      </c>
      <c r="L12" s="193">
        <f>IFERROR(IF(J12 = 1, "Completed module", IF(((70 - I12) / (1 - J12)) &gt; 100, "Unattainable", IF(((70 - I12) / (1 - J12)) &lt; 0, "Already attained", ((70 - I12) / (1 - J12))))), "-")</f>
        <v>70</v>
      </c>
      <c r="M12" s="193">
        <f>IFERROR(IF(J12 = 1, "Completed module", IF(((60 - I12) / (1 - J12)) &gt; 100, "Unattainable", IF(((60 - I12) / (1 - J12)) &lt; 0, "Already attained", ((60 - I12) / (1 - J12))))), "-")</f>
        <v>60</v>
      </c>
      <c r="N12" s="166">
        <f>IFERROR(IF(J12 = 1, "Completed module", IF(((50 - I12) / (1 - J12)) &gt; 100, "Unattainable", IF(((50 - I12) / (1 - J12)) &lt; 0, "Already attained", ((50 - I12) / (1 - J12))))), "-")</f>
        <v>50</v>
      </c>
      <c r="O12" s="189">
        <f>IFERROR(IF(J12 = 1, "Completed module", IF(((40 - I12) / (1 - J12)) &gt; 100, "Unattainable", IF(((40 - I12) / (1 - J12)) &lt; 0, "Already attained", ((40 - I12) / (1 - J12))))), "-")</f>
        <v>40</v>
      </c>
    </row>
    <row r="13" spans="1:15" ht="13.2" x14ac:dyDescent="0.25">
      <c r="A13" s="212"/>
      <c r="B13" s="197"/>
      <c r="C13" s="200"/>
      <c r="D13" s="200"/>
      <c r="E13" s="45" t="s">
        <v>19</v>
      </c>
      <c r="F13" s="44">
        <v>0.6</v>
      </c>
      <c r="G13" s="45" t="s">
        <v>54</v>
      </c>
      <c r="H13" s="46"/>
      <c r="I13" s="203"/>
      <c r="J13" s="203"/>
      <c r="K13" s="203"/>
      <c r="L13" s="194"/>
      <c r="M13" s="194"/>
      <c r="N13" s="167"/>
      <c r="O13" s="191"/>
    </row>
    <row r="14" spans="1:15" ht="13.2" x14ac:dyDescent="0.25">
      <c r="A14" s="212"/>
      <c r="B14" s="197"/>
      <c r="C14" s="200"/>
      <c r="D14" s="200"/>
      <c r="E14" s="45" t="s">
        <v>31</v>
      </c>
      <c r="F14" s="44">
        <v>0.05</v>
      </c>
      <c r="G14" s="45" t="s">
        <v>31</v>
      </c>
      <c r="H14" s="46"/>
      <c r="I14" s="203"/>
      <c r="J14" s="203"/>
      <c r="K14" s="203"/>
      <c r="L14" s="194"/>
      <c r="M14" s="194"/>
      <c r="N14" s="167"/>
      <c r="O14" s="191"/>
    </row>
    <row r="15" spans="1:15" ht="13.2" x14ac:dyDescent="0.25">
      <c r="A15" s="212"/>
      <c r="B15" s="197"/>
      <c r="C15" s="200"/>
      <c r="D15" s="200"/>
      <c r="E15" s="45" t="s">
        <v>34</v>
      </c>
      <c r="F15" s="57">
        <v>2.5000000000000001E-2</v>
      </c>
      <c r="G15" s="45" t="s">
        <v>55</v>
      </c>
      <c r="H15" s="46"/>
      <c r="I15" s="203"/>
      <c r="J15" s="203"/>
      <c r="K15" s="203"/>
      <c r="L15" s="194"/>
      <c r="M15" s="194"/>
      <c r="N15" s="167"/>
      <c r="O15" s="191"/>
    </row>
    <row r="16" spans="1:15" ht="13.8" thickBot="1" x14ac:dyDescent="0.3">
      <c r="A16" s="213"/>
      <c r="B16" s="198"/>
      <c r="C16" s="201"/>
      <c r="D16" s="201"/>
      <c r="E16" s="54" t="s">
        <v>34</v>
      </c>
      <c r="F16" s="62">
        <v>2.5000000000000001E-2</v>
      </c>
      <c r="G16" s="54" t="s">
        <v>56</v>
      </c>
      <c r="H16" s="56"/>
      <c r="I16" s="204"/>
      <c r="J16" s="204"/>
      <c r="K16" s="204"/>
      <c r="L16" s="195"/>
      <c r="M16" s="195"/>
      <c r="N16" s="168"/>
      <c r="O16" s="190"/>
    </row>
    <row r="17" spans="1:15" ht="13.8" thickTop="1" x14ac:dyDescent="0.25">
      <c r="A17" s="261" t="s">
        <v>147</v>
      </c>
      <c r="B17" s="254" t="s">
        <v>57</v>
      </c>
      <c r="C17" s="255">
        <v>7.5</v>
      </c>
      <c r="D17" s="259">
        <v>0.4</v>
      </c>
      <c r="E17" s="47" t="s">
        <v>19</v>
      </c>
      <c r="F17" s="60">
        <v>0.7</v>
      </c>
      <c r="G17" s="47" t="s">
        <v>43</v>
      </c>
      <c r="H17" s="61"/>
      <c r="I17" s="256">
        <f>IF(F17=1, H17, SUMPRODUCT(H17:H19, F17:F19))</f>
        <v>6</v>
      </c>
      <c r="J17" s="256">
        <f>SUMIF(H17:H19, "&lt;&gt;", F17:F19) / SUMIF(F17:F19, "&lt;&gt;")</f>
        <v>0.10000000000000002</v>
      </c>
      <c r="K17" s="256">
        <f>IFERROR(I17/J17, "No grades yet")</f>
        <v>59.999999999999986</v>
      </c>
      <c r="L17" s="251">
        <f>IFERROR(IF(J17 = 1, "Completed module", IF(((70 - I17) / (1 - J17)) &gt; 100, "Unattainable", IF(((70 - I17) / (1 - J17)) &lt; 0, "Already attained", ((70 - I17) / (1 - J17))))), "-")</f>
        <v>71.111111111111114</v>
      </c>
      <c r="M17" s="251">
        <f>IFERROR(IF(J17 = 1, "Completed module", IF(((60 - I17) / (1 - J17)) &gt; 100, "Unattainable", IF(((60 - I17) / (1 - J17)) &lt; 0, "Already attained", ((60 - I17) / (1 - J17))))), "-")</f>
        <v>60</v>
      </c>
      <c r="N17" s="166">
        <f>IFERROR(IF(J17 = 1, "Completed module", IF(((50 - I17) / (1 - J17)) &gt; 100, "Unattainable", IF(((50 - I17) / (1 - J17)) &lt; 0, "Already attained", ((50 - I17) / (1 - J17))))), "-")</f>
        <v>48.888888888888886</v>
      </c>
      <c r="O17" s="189">
        <f>IFERROR(IF(J17 = 1, "Completed module", IF(((40 - I17) / (1 - J17)) &gt; 100, "Unattainable", IF(((40 - I17) / (1 - J17)) &lt; 0, "Already attained", ((40 - I17) / (1 - J17))))), "-")</f>
        <v>37.777777777777779</v>
      </c>
    </row>
    <row r="18" spans="1:15" ht="13.2" x14ac:dyDescent="0.25">
      <c r="A18" s="212"/>
      <c r="B18" s="197"/>
      <c r="C18" s="200"/>
      <c r="D18" s="200"/>
      <c r="E18" s="43" t="s">
        <v>22</v>
      </c>
      <c r="F18" s="58">
        <v>0.2</v>
      </c>
      <c r="G18" s="43" t="s">
        <v>58</v>
      </c>
      <c r="H18" s="59"/>
      <c r="I18" s="258"/>
      <c r="J18" s="258"/>
      <c r="K18" s="258"/>
      <c r="L18" s="252"/>
      <c r="M18" s="252"/>
      <c r="N18" s="167"/>
      <c r="O18" s="191"/>
    </row>
    <row r="19" spans="1:15" ht="13.8" thickBot="1" x14ac:dyDescent="0.3">
      <c r="A19" s="213"/>
      <c r="B19" s="198"/>
      <c r="C19" s="201"/>
      <c r="D19" s="201"/>
      <c r="E19" s="63" t="s">
        <v>22</v>
      </c>
      <c r="F19" s="64">
        <v>0.1</v>
      </c>
      <c r="G19" s="63" t="s">
        <v>59</v>
      </c>
      <c r="H19" s="65">
        <v>60</v>
      </c>
      <c r="I19" s="257"/>
      <c r="J19" s="257"/>
      <c r="K19" s="257"/>
      <c r="L19" s="253"/>
      <c r="M19" s="253"/>
      <c r="N19" s="168"/>
      <c r="O19" s="190"/>
    </row>
    <row r="20" spans="1:15" ht="13.8" thickTop="1" x14ac:dyDescent="0.25">
      <c r="A20" s="261" t="s">
        <v>148</v>
      </c>
      <c r="B20" s="254" t="s">
        <v>60</v>
      </c>
      <c r="C20" s="255">
        <v>5</v>
      </c>
      <c r="D20" s="259">
        <v>0.4</v>
      </c>
      <c r="E20" s="47" t="s">
        <v>19</v>
      </c>
      <c r="F20" s="60">
        <v>0.6</v>
      </c>
      <c r="G20" s="47" t="s">
        <v>43</v>
      </c>
      <c r="H20" s="50"/>
      <c r="I20" s="256">
        <f>IF(F20=1, H20, SUMPRODUCT(H20:H21, F20:F21))</f>
        <v>35.6</v>
      </c>
      <c r="J20" s="256">
        <f>SUMIF(H20:H21, "&lt;&gt;", F20:F21) / SUMIF(F20:F21, "&lt;&gt;")</f>
        <v>0.4</v>
      </c>
      <c r="K20" s="202">
        <f>IFERROR(I20/J20, "No grades yet")</f>
        <v>89</v>
      </c>
      <c r="L20" s="251">
        <f>IFERROR(IF(J20 = 1, "Completed module", IF(((70 - I20) / (1 - J20)) &gt; 100, "Unattainable", IF(((70 - I20) / (1 - J20)) &lt; 0, "Already attained", ((70 - I20) / (1 - J20))))), "-")</f>
        <v>57.333333333333336</v>
      </c>
      <c r="M20" s="251">
        <f>IFERROR(IF(J20 = 1, "Completed module", IF(((60 - I20) / (1 - J20)) &gt; 100, "Unattainable", IF(((60 - I20) / (1 - J20)) &lt; 0, "Already attained", ((60 - I20) / (1 - J20))))), "-")</f>
        <v>40.666666666666664</v>
      </c>
      <c r="N20" s="166">
        <f>IFERROR(IF(J20 = 1, "Completed module", IF(((50 - I20) / (1 - J20)) &gt; 100, "Unattainable", IF(((50 - I20) / (1 - J20)) &lt; 0, "Already attained", ((50 - I20) / (1 - J20))))), "-")</f>
        <v>24</v>
      </c>
      <c r="O20" s="189">
        <f>IFERROR(IF(J20 = 1, "Completed module", IF(((40 - I20) / (1 - J20)) &gt; 100, "Unattainable", IF(((40 - I20) / (1 - J20)) &lt; 0, "Already attained", ((40 - I20) / (1 - J20))))), "-")</f>
        <v>7.3333333333333313</v>
      </c>
    </row>
    <row r="21" spans="1:15" ht="13.8" thickBot="1" x14ac:dyDescent="0.3">
      <c r="A21" s="213"/>
      <c r="B21" s="198"/>
      <c r="C21" s="201"/>
      <c r="D21" s="201"/>
      <c r="E21" s="63" t="s">
        <v>52</v>
      </c>
      <c r="F21" s="64">
        <v>0.4</v>
      </c>
      <c r="G21" s="63" t="s">
        <v>61</v>
      </c>
      <c r="H21" s="56">
        <v>89</v>
      </c>
      <c r="I21" s="257"/>
      <c r="J21" s="257"/>
      <c r="K21" s="204"/>
      <c r="L21" s="253"/>
      <c r="M21" s="253"/>
      <c r="N21" s="168"/>
      <c r="O21" s="190"/>
    </row>
    <row r="22" spans="1:15" ht="13.8" thickTop="1" x14ac:dyDescent="0.25">
      <c r="A22" s="211" t="s">
        <v>143</v>
      </c>
      <c r="B22" s="196" t="s">
        <v>38</v>
      </c>
      <c r="C22" s="199">
        <v>5</v>
      </c>
      <c r="D22" s="205">
        <v>0.4</v>
      </c>
      <c r="E22" s="49" t="s">
        <v>39</v>
      </c>
      <c r="F22" s="48">
        <v>0.5</v>
      </c>
      <c r="G22" s="49" t="s">
        <v>40</v>
      </c>
      <c r="H22" s="50">
        <v>43.6</v>
      </c>
      <c r="I22" s="202">
        <f>IF(F22=1, H22, SUMPRODUCT(H22:H23, F22:F23))</f>
        <v>67.95</v>
      </c>
      <c r="J22" s="202">
        <f>SUMIF(H22:H23, "&lt;&gt;", F22:F23) / SUMIF(F22:F23, "&lt;&gt;")</f>
        <v>1</v>
      </c>
      <c r="K22" s="202">
        <f>IFERROR(I22/J22, "No grades yet")</f>
        <v>67.95</v>
      </c>
      <c r="L22" s="193" t="str">
        <f>IFERROR(IF(J22 = 1, "Completed module", IF(((70 - I22) / (1 - J22)) &gt; 100, "Unattainable", IF(((70 - I22) / (1 - J22)) &lt; 0, "Already attained", ((70 - I22) / (1 - J22))))), "-")</f>
        <v>Completed module</v>
      </c>
      <c r="M22" s="193" t="str">
        <f>IFERROR(IF(J22 = 1, "Completed module", IF(((60 - I22) / (1 - J22)) &gt; 100, "Unattainable", IF(((60 - I22) / (1 - J22)) &lt; 0, "Already attained", ((60 - I22) / (1 - J22))))), "-")</f>
        <v>Completed module</v>
      </c>
      <c r="N22" s="166" t="str">
        <f>IFERROR(IF(J22 = 1, "Completed module", IF(((50 - I22) / (1 - J22)) &gt; 100, "Unattainable", IF(((50 - I22) / (1 - J22)) &lt; 0, "Already attained", ((50 - I22) / (1 - J22))))), "-")</f>
        <v>Completed module</v>
      </c>
      <c r="O22" s="189" t="str">
        <f>IFERROR(IF(J22 = 1, "Completed module", IF(((40 - I22) / (1 - J22)) &gt; 100, "Unattainable", IF(((40 - I22) / (1 - J22)) &lt; 0, "Already attained", ((40 - I22) / (1 - J22))))), "-")</f>
        <v>Completed module</v>
      </c>
    </row>
    <row r="23" spans="1:15" ht="13.8" thickBot="1" x14ac:dyDescent="0.3">
      <c r="A23" s="213"/>
      <c r="B23" s="198"/>
      <c r="C23" s="201"/>
      <c r="D23" s="201"/>
      <c r="E23" s="54" t="s">
        <v>39</v>
      </c>
      <c r="F23" s="55">
        <v>0.5</v>
      </c>
      <c r="G23" s="54" t="s">
        <v>41</v>
      </c>
      <c r="H23" s="56">
        <v>92.3</v>
      </c>
      <c r="I23" s="204"/>
      <c r="J23" s="204"/>
      <c r="K23" s="204"/>
      <c r="L23" s="195"/>
      <c r="M23" s="195"/>
      <c r="N23" s="168"/>
      <c r="O23" s="190"/>
    </row>
    <row r="24" spans="1:15" ht="13.8" thickTop="1" x14ac:dyDescent="0.25">
      <c r="A24" s="211" t="s">
        <v>149</v>
      </c>
      <c r="B24" s="196" t="s">
        <v>62</v>
      </c>
      <c r="C24" s="199">
        <v>7.5</v>
      </c>
      <c r="D24" s="205">
        <v>0.4</v>
      </c>
      <c r="E24" s="49" t="s">
        <v>19</v>
      </c>
      <c r="F24" s="48">
        <v>0.7</v>
      </c>
      <c r="G24" s="49" t="s">
        <v>63</v>
      </c>
      <c r="H24" s="50">
        <v>31.3</v>
      </c>
      <c r="I24" s="202">
        <f>IF(F24=1, H24, SUMPRODUCT(H24:H26, F24:F26))</f>
        <v>35.486000000000004</v>
      </c>
      <c r="J24" s="202">
        <f>SUMIF(H24:H26, "&lt;&gt;", F24:F26) / SUMIF(F24:F26, "&lt;&gt;")</f>
        <v>0.9</v>
      </c>
      <c r="K24" s="202">
        <f>IFERROR(I24/J24, "No grades yet")</f>
        <v>39.428888888888892</v>
      </c>
      <c r="L24" s="193" t="str">
        <f>IFERROR(IF(J24 = 1, "Completed module", IF(((70 - I24) / (1 - J24)) &gt; 100, "Unattainable", IF(((70 - I24) / (1 - J24)) &lt; 0, "Already attained", ((70 - I24) / (1 - J24))))), "-")</f>
        <v>Unattainable</v>
      </c>
      <c r="M24" s="193" t="str">
        <f>IFERROR(IF(J24 = 1, "Completed module", IF(((60 - I24) / (1 - J24)) &gt; 100, "Unattainable", IF(((60 - I24) / (1 - J24)) &lt; 0, "Already attained", ((60 - I24) / (1 - J24))))), "-")</f>
        <v>Unattainable</v>
      </c>
      <c r="N24" s="166" t="str">
        <f>IFERROR(IF(J24 = 1, "Completed module", IF(((50 - I24) / (1 - J24)) &gt; 100, "Unattainable", IF(((50 - I24) / (1 - J24)) &lt; 0, "Already attained", ((50 - I24) / (1 - J24))))), "-")</f>
        <v>Unattainable</v>
      </c>
      <c r="O24" s="189">
        <f>IFERROR(IF(J24 = 1, "Completed module", IF(((40 - I24) / (1 - J24)) &gt; 100, "Unattainable", IF(((40 - I24) / (1 - J24)) &lt; 0, "Already attained", ((40 - I24) / (1 - J24))))), "-")</f>
        <v>45.139999999999965</v>
      </c>
    </row>
    <row r="25" spans="1:15" ht="13.2" x14ac:dyDescent="0.25">
      <c r="A25" s="212"/>
      <c r="B25" s="197"/>
      <c r="C25" s="200"/>
      <c r="D25" s="200"/>
      <c r="E25" s="45" t="s">
        <v>22</v>
      </c>
      <c r="F25" s="44">
        <v>0.2</v>
      </c>
      <c r="G25" s="45" t="s">
        <v>64</v>
      </c>
      <c r="H25" s="46">
        <v>67.88</v>
      </c>
      <c r="I25" s="203"/>
      <c r="J25" s="203"/>
      <c r="K25" s="203"/>
      <c r="L25" s="194"/>
      <c r="M25" s="194"/>
      <c r="N25" s="167"/>
      <c r="O25" s="191"/>
    </row>
    <row r="26" spans="1:15" ht="13.8" thickBot="1" x14ac:dyDescent="0.3">
      <c r="A26" s="216"/>
      <c r="B26" s="209"/>
      <c r="C26" s="210"/>
      <c r="D26" s="210"/>
      <c r="E26" s="51" t="s">
        <v>22</v>
      </c>
      <c r="F26" s="52">
        <v>0.1</v>
      </c>
      <c r="G26" s="51" t="s">
        <v>65</v>
      </c>
      <c r="H26" s="53"/>
      <c r="I26" s="260"/>
      <c r="J26" s="260"/>
      <c r="K26" s="260"/>
      <c r="L26" s="208"/>
      <c r="M26" s="208"/>
      <c r="N26" s="181"/>
      <c r="O26" s="192"/>
    </row>
    <row r="27" spans="1:15" ht="15.75" customHeight="1" thickTop="1" x14ac:dyDescent="0.25"/>
  </sheetData>
  <mergeCells count="88">
    <mergeCell ref="A20:A21"/>
    <mergeCell ref="A22:A23"/>
    <mergeCell ref="A24:A26"/>
    <mergeCell ref="A2:A4"/>
    <mergeCell ref="A5:A8"/>
    <mergeCell ref="A9:A11"/>
    <mergeCell ref="A12:A16"/>
    <mergeCell ref="A17:A19"/>
    <mergeCell ref="L24:L26"/>
    <mergeCell ref="M24:M26"/>
    <mergeCell ref="B22:B23"/>
    <mergeCell ref="C22:C23"/>
    <mergeCell ref="I22:I23"/>
    <mergeCell ref="J22:J23"/>
    <mergeCell ref="K22:K23"/>
    <mergeCell ref="L22:L23"/>
    <mergeCell ref="M22:M23"/>
    <mergeCell ref="B24:B26"/>
    <mergeCell ref="C24:C26"/>
    <mergeCell ref="I24:I26"/>
    <mergeCell ref="J24:J26"/>
    <mergeCell ref="K24:K26"/>
    <mergeCell ref="D22:D23"/>
    <mergeCell ref="D24:D26"/>
    <mergeCell ref="L17:L19"/>
    <mergeCell ref="M17:M19"/>
    <mergeCell ref="B20:B21"/>
    <mergeCell ref="C20:C21"/>
    <mergeCell ref="I20:I21"/>
    <mergeCell ref="J20:J21"/>
    <mergeCell ref="K20:K21"/>
    <mergeCell ref="L20:L21"/>
    <mergeCell ref="M20:M21"/>
    <mergeCell ref="B17:B19"/>
    <mergeCell ref="C17:C19"/>
    <mergeCell ref="I17:I19"/>
    <mergeCell ref="J17:J19"/>
    <mergeCell ref="K17:K19"/>
    <mergeCell ref="D17:D19"/>
    <mergeCell ref="D20:D21"/>
    <mergeCell ref="L9:L11"/>
    <mergeCell ref="M9:M11"/>
    <mergeCell ref="B12:B16"/>
    <mergeCell ref="C12:C16"/>
    <mergeCell ref="I12:I16"/>
    <mergeCell ref="J12:J16"/>
    <mergeCell ref="K12:K16"/>
    <mergeCell ref="L12:L16"/>
    <mergeCell ref="M12:M16"/>
    <mergeCell ref="B9:B11"/>
    <mergeCell ref="C9:C11"/>
    <mergeCell ref="I9:I11"/>
    <mergeCell ref="J9:J11"/>
    <mergeCell ref="K9:K11"/>
    <mergeCell ref="D9:D11"/>
    <mergeCell ref="D12:D16"/>
    <mergeCell ref="L2:L4"/>
    <mergeCell ref="M2:M4"/>
    <mergeCell ref="B5:B8"/>
    <mergeCell ref="C5:C8"/>
    <mergeCell ref="I5:I8"/>
    <mergeCell ref="J5:J8"/>
    <mergeCell ref="K5:K8"/>
    <mergeCell ref="L5:L8"/>
    <mergeCell ref="M5:M8"/>
    <mergeCell ref="B2:B4"/>
    <mergeCell ref="C2:C4"/>
    <mergeCell ref="I2:I4"/>
    <mergeCell ref="J2:J4"/>
    <mergeCell ref="K2:K4"/>
    <mergeCell ref="D2:D4"/>
    <mergeCell ref="D5:D8"/>
    <mergeCell ref="N2:N4"/>
    <mergeCell ref="O2:O4"/>
    <mergeCell ref="N5:N8"/>
    <mergeCell ref="O5:O8"/>
    <mergeCell ref="N9:N11"/>
    <mergeCell ref="O9:O11"/>
    <mergeCell ref="N22:N23"/>
    <mergeCell ref="O22:O23"/>
    <mergeCell ref="N24:N26"/>
    <mergeCell ref="O24:O26"/>
    <mergeCell ref="N12:N16"/>
    <mergeCell ref="O12:O16"/>
    <mergeCell ref="N17:N19"/>
    <mergeCell ref="O17:O19"/>
    <mergeCell ref="N20:N21"/>
    <mergeCell ref="O20:O21"/>
  </mergeCells>
  <conditionalFormatting sqref="H2:H26 K2:K26">
    <cfRule type="cellIs" dxfId="818" priority="3" operator="greaterThanOrEqual">
      <formula>70</formula>
    </cfRule>
    <cfRule type="cellIs" dxfId="817" priority="4" operator="between">
      <formula>70</formula>
      <formula>60</formula>
    </cfRule>
    <cfRule type="cellIs" dxfId="816" priority="5" operator="between">
      <formula>60</formula>
      <formula>50</formula>
    </cfRule>
    <cfRule type="cellIs" dxfId="815" priority="6" operator="between">
      <formula>40</formula>
      <formula>50</formula>
    </cfRule>
    <cfRule type="cellIs" dxfId="814" priority="7" operator="lessThan">
      <formula>40</formula>
    </cfRule>
  </conditionalFormatting>
  <conditionalFormatting sqref="H2:H26">
    <cfRule type="containsBlanks" dxfId="813" priority="2">
      <formula>LEN(TRIM(H2))=0</formula>
    </cfRule>
  </conditionalFormatting>
  <conditionalFormatting sqref="K2:K26">
    <cfRule type="containsText" dxfId="812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U106"/>
  <sheetViews>
    <sheetView topLeftCell="G1" zoomScale="64" zoomScaleNormal="58" workbookViewId="0">
      <selection activeCell="I13" sqref="I13"/>
    </sheetView>
  </sheetViews>
  <sheetFormatPr defaultColWidth="9.33203125" defaultRowHeight="13.2" x14ac:dyDescent="0.25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hidden="1" customWidth="1"/>
    <col min="13" max="13" width="24.109375" hidden="1" customWidth="1"/>
    <col min="14" max="14" width="24" hidden="1" customWidth="1"/>
    <col min="15" max="15" width="21.21875" hidden="1" customWidth="1"/>
    <col min="16" max="16" width="23.6640625" hidden="1" customWidth="1"/>
    <col min="18" max="18" width="27.88671875" customWidth="1"/>
    <col min="19" max="19" width="33.109375" customWidth="1"/>
    <col min="20" max="20" width="46.6640625" customWidth="1"/>
    <col min="21" max="21" width="25" customWidth="1"/>
  </cols>
  <sheetData>
    <row r="1" spans="1:21" x14ac:dyDescent="0.25">
      <c r="A1" s="1" t="s">
        <v>66</v>
      </c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21" ht="13.8" thickBo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</row>
    <row r="3" spans="1:21" ht="13.8" thickBot="1" x14ac:dyDescent="0.3">
      <c r="A3" s="114" t="s">
        <v>67</v>
      </c>
      <c r="B3" s="115" t="s">
        <v>3</v>
      </c>
      <c r="C3" s="115" t="s">
        <v>0</v>
      </c>
      <c r="D3" s="115" t="s">
        <v>93</v>
      </c>
      <c r="E3" s="115" t="s">
        <v>94</v>
      </c>
      <c r="F3" s="300" t="s">
        <v>95</v>
      </c>
      <c r="G3" s="300"/>
      <c r="H3" s="300"/>
      <c r="I3" s="115" t="s">
        <v>4</v>
      </c>
      <c r="J3" s="115" t="s">
        <v>5</v>
      </c>
      <c r="K3" s="115" t="s">
        <v>6</v>
      </c>
      <c r="L3" s="115" t="s">
        <v>7</v>
      </c>
      <c r="M3" s="115" t="s">
        <v>8</v>
      </c>
      <c r="N3" s="116" t="s">
        <v>9</v>
      </c>
      <c r="O3" s="17" t="s">
        <v>202</v>
      </c>
      <c r="P3" s="17" t="s">
        <v>203</v>
      </c>
    </row>
    <row r="4" spans="1:21" ht="13.8" thickTop="1" x14ac:dyDescent="0.25">
      <c r="A4" s="284" t="s">
        <v>286</v>
      </c>
      <c r="B4" s="285" t="s">
        <v>287</v>
      </c>
      <c r="C4" s="286">
        <v>20</v>
      </c>
      <c r="D4" s="287">
        <v>36.299999999999997</v>
      </c>
      <c r="E4" s="288">
        <v>0.4</v>
      </c>
      <c r="F4" s="68" t="s">
        <v>207</v>
      </c>
      <c r="G4" s="69">
        <v>0.15</v>
      </c>
      <c r="H4" s="68" t="s">
        <v>288</v>
      </c>
      <c r="I4" s="117"/>
      <c r="J4" s="292">
        <f>IF(G4=1, I4, SUMPRODUCT(I4:I8, G4:G8))</f>
        <v>0</v>
      </c>
      <c r="K4" s="292">
        <f>SUMIF(I4:I8, "&lt;&gt;", G4:G8) / SUMIF(G4:G8, "&lt;&gt;")</f>
        <v>0</v>
      </c>
      <c r="L4" s="292" t="str">
        <f>IFERROR(J4/K4, "No grades yet")</f>
        <v>No grades yet</v>
      </c>
      <c r="M4" s="292">
        <f>IFERROR(IF(K4 = 1, "Completed module", IF(((70 - J4) / (1 - K4)) &gt; 100, "Unattainable", IF(((70 - J4) / (1 - K4)) &lt; 0, "Already attained", ((70 - J4) / (1 - K4))))), "-")</f>
        <v>70</v>
      </c>
      <c r="N4" s="292">
        <f>IFERROR(IF(K4 = 1, "Completed module", IF(((60 - J4) / (1 - K4)) &gt; 100, "Unattainable", IF(((60 - J4) / (1 - K4)) &lt; 0, "Already attained", ((60 - J4) / (1 - K4))))), "-")</f>
        <v>60</v>
      </c>
      <c r="O4" s="292">
        <f>IFERROR(IF(K4 = 1, "Completed module", IF(((50 - J4) / (1 - K4)) &gt; 100, "Unattainable", IF(((50 - J4) / (1 - K4)) &lt; 0, "Already attained", ((50 - J4) / (1 - K4))))), "-")</f>
        <v>50</v>
      </c>
      <c r="P4" s="295">
        <f>IFERROR(IF(K4 = 1, "Completed module", IF(((40 - J4) / (1 - K4)) &gt; 100, "Unattainable", IF(((40 - J4) / (1 - K4)) &lt; 0, "Already attained", ((40 - J4) / (1 - K4))))), "-")</f>
        <v>40</v>
      </c>
    </row>
    <row r="5" spans="1:21" x14ac:dyDescent="0.25">
      <c r="A5" s="279"/>
      <c r="B5" s="280"/>
      <c r="C5" s="281"/>
      <c r="D5" s="282"/>
      <c r="E5" s="283"/>
      <c r="F5" s="66" t="s">
        <v>207</v>
      </c>
      <c r="G5" s="67">
        <v>0.1</v>
      </c>
      <c r="H5" s="66" t="s">
        <v>289</v>
      </c>
      <c r="I5" s="113"/>
      <c r="J5" s="293"/>
      <c r="K5" s="293"/>
      <c r="L5" s="293"/>
      <c r="M5" s="293"/>
      <c r="N5" s="293"/>
      <c r="O5" s="293"/>
      <c r="P5" s="296"/>
    </row>
    <row r="6" spans="1:21" x14ac:dyDescent="0.25">
      <c r="A6" s="279"/>
      <c r="B6" s="280"/>
      <c r="C6" s="281"/>
      <c r="D6" s="282"/>
      <c r="E6" s="283"/>
      <c r="F6" s="66" t="s">
        <v>209</v>
      </c>
      <c r="G6" s="67">
        <v>0.2</v>
      </c>
      <c r="H6" s="66" t="s">
        <v>290</v>
      </c>
      <c r="I6" s="113"/>
      <c r="J6" s="293"/>
      <c r="K6" s="293"/>
      <c r="L6" s="293"/>
      <c r="M6" s="293"/>
      <c r="N6" s="293"/>
      <c r="O6" s="293"/>
      <c r="P6" s="296"/>
    </row>
    <row r="7" spans="1:21" x14ac:dyDescent="0.25">
      <c r="A7" s="279"/>
      <c r="B7" s="280"/>
      <c r="C7" s="281"/>
      <c r="D7" s="282"/>
      <c r="E7" s="283"/>
      <c r="F7" s="66" t="s">
        <v>207</v>
      </c>
      <c r="G7" s="67">
        <v>0.4</v>
      </c>
      <c r="H7" s="66" t="s">
        <v>291</v>
      </c>
      <c r="I7" s="113"/>
      <c r="J7" s="293"/>
      <c r="K7" s="293"/>
      <c r="L7" s="293"/>
      <c r="M7" s="293"/>
      <c r="N7" s="293"/>
      <c r="O7" s="293"/>
      <c r="P7" s="296"/>
      <c r="R7" s="10" t="s">
        <v>304</v>
      </c>
      <c r="S7" s="10" t="s">
        <v>305</v>
      </c>
      <c r="T7" s="10" t="s">
        <v>306</v>
      </c>
      <c r="U7" s="10" t="s">
        <v>303</v>
      </c>
    </row>
    <row r="8" spans="1:21" ht="13.8" customHeight="1" thickBot="1" x14ac:dyDescent="0.3">
      <c r="A8" s="265"/>
      <c r="B8" s="267"/>
      <c r="C8" s="269"/>
      <c r="D8" s="271"/>
      <c r="E8" s="273"/>
      <c r="F8" s="73" t="s">
        <v>259</v>
      </c>
      <c r="G8" s="74">
        <v>0.15</v>
      </c>
      <c r="H8" s="73" t="s">
        <v>292</v>
      </c>
      <c r="I8" s="120"/>
      <c r="J8" s="294"/>
      <c r="K8" s="294"/>
      <c r="L8" s="294"/>
      <c r="M8" s="294"/>
      <c r="N8" s="294"/>
      <c r="O8" s="294"/>
      <c r="P8" s="297"/>
      <c r="R8" s="10" t="s">
        <v>307</v>
      </c>
      <c r="S8" s="10" t="s">
        <v>307</v>
      </c>
      <c r="T8" s="10" t="s">
        <v>312</v>
      </c>
      <c r="U8" t="s">
        <v>98</v>
      </c>
    </row>
    <row r="9" spans="1:21" ht="23.4" customHeight="1" thickTop="1" x14ac:dyDescent="0.25">
      <c r="A9" s="284" t="s">
        <v>257</v>
      </c>
      <c r="B9" s="298" t="s">
        <v>293</v>
      </c>
      <c r="C9" s="286">
        <v>5</v>
      </c>
      <c r="D9" s="287">
        <v>9.1</v>
      </c>
      <c r="E9" s="288">
        <v>0.4</v>
      </c>
      <c r="F9" s="68" t="s">
        <v>158</v>
      </c>
      <c r="G9" s="69">
        <v>0.8</v>
      </c>
      <c r="H9" s="68" t="s">
        <v>217</v>
      </c>
      <c r="I9" s="117"/>
      <c r="J9" s="292">
        <f>IF(G9=1, I9, SUMPRODUCT(I9:I10, G9:G10))</f>
        <v>0</v>
      </c>
      <c r="K9" s="292">
        <f>SUMIF(I9:I10, "&lt;&gt;", G9:G10) / SUMIF(G9:G10, "&lt;&gt;")</f>
        <v>0</v>
      </c>
      <c r="L9" s="292" t="str">
        <f>IFERROR(J9/K9, "No grades yet")</f>
        <v>No grades yet</v>
      </c>
      <c r="M9" s="292">
        <f>IFERROR(IF(K9 = 1, "Completed module", IF(((70 - J9) / (1 - K9)) &gt; 100, "Unattainable", IF(((70 - J9) / (1 - K9)) &lt; 0, "Already attained", ((70 - J9) / (1 - K9))))), "-")</f>
        <v>70</v>
      </c>
      <c r="N9" s="292">
        <f>IFERROR(IF(K9 = 1, "Completed module", IF(((60 - J9) / (1 - K9)) &gt; 100, "Unattainable", IF(((60 - J9) / (1 - K9)) &lt; 0, "Already attained", ((60 - J9) / (1 - K9))))), "-")</f>
        <v>60</v>
      </c>
      <c r="O9" s="292">
        <f>IFERROR(IF(K9 = 1, "Completed module", IF(((50 - J9) / (1 - K9)) &gt; 100, "Unattainable", IF(((50 - J9) / (1 - K9)) &lt; 0, "Already attained", ((50 - J9) / (1 - K9))))), "-")</f>
        <v>50</v>
      </c>
      <c r="P9" s="295">
        <f>IFERROR(IF(K9 = 1, "Completed module", IF(((40 - J9) / (1 - K9)) &gt; 100, "Unattainable", IF(((40 - J9) / (1 - K9)) &lt; 0, "Already attained", ((40 - J9) / (1 - K9))))), "-")</f>
        <v>40</v>
      </c>
      <c r="R9" s="10" t="s">
        <v>308</v>
      </c>
      <c r="S9" s="10" t="s">
        <v>310</v>
      </c>
      <c r="T9" s="10" t="s">
        <v>313</v>
      </c>
      <c r="U9" t="s">
        <v>103</v>
      </c>
    </row>
    <row r="10" spans="1:21" ht="13.8" thickBot="1" x14ac:dyDescent="0.3">
      <c r="A10" s="265"/>
      <c r="B10" s="299"/>
      <c r="C10" s="269"/>
      <c r="D10" s="271"/>
      <c r="E10" s="273"/>
      <c r="F10" s="73" t="s">
        <v>259</v>
      </c>
      <c r="G10" s="74">
        <v>0.2</v>
      </c>
      <c r="H10" s="73" t="s">
        <v>294</v>
      </c>
      <c r="I10" s="120"/>
      <c r="J10" s="294"/>
      <c r="K10" s="294"/>
      <c r="L10" s="294"/>
      <c r="M10" s="294"/>
      <c r="N10" s="294"/>
      <c r="O10" s="294"/>
      <c r="P10" s="297"/>
      <c r="R10" s="10" t="s">
        <v>309</v>
      </c>
      <c r="S10" s="10" t="s">
        <v>311</v>
      </c>
      <c r="T10" s="10" t="s">
        <v>308</v>
      </c>
      <c r="U10" t="s">
        <v>105</v>
      </c>
    </row>
    <row r="11" spans="1:21" ht="13.8" thickTop="1" x14ac:dyDescent="0.25">
      <c r="A11" s="284" t="s">
        <v>295</v>
      </c>
      <c r="B11" s="285" t="s">
        <v>296</v>
      </c>
      <c r="C11" s="286">
        <v>5</v>
      </c>
      <c r="D11" s="287">
        <v>9.1</v>
      </c>
      <c r="E11" s="288">
        <v>0.4</v>
      </c>
      <c r="F11" s="68" t="s">
        <v>158</v>
      </c>
      <c r="G11" s="69">
        <v>0.8</v>
      </c>
      <c r="H11" s="68" t="s">
        <v>217</v>
      </c>
      <c r="I11" s="117"/>
      <c r="J11" s="292">
        <f>IF(G11=1, I11, SUMPRODUCT(I11:I13, G11:G13))</f>
        <v>0</v>
      </c>
      <c r="K11" s="292">
        <f>SUMIF(I11:I13, "&lt;&gt;", G11:G13) / SUMIF(G11:G13, "&lt;&gt;")</f>
        <v>0</v>
      </c>
      <c r="L11" s="292" t="str">
        <f>IFERROR(J11/K11, "No grades yet")</f>
        <v>No grades yet</v>
      </c>
      <c r="M11" s="292">
        <f>IFERROR(IF(K11 = 1, "Completed module", IF(((70 - J11) / (1 - K11)) &gt; 100, "Unattainable", IF(((70 - J11) / (1 - K11)) &lt; 0, "Already attained", ((70 - J11) / (1 - K11))))), "-")</f>
        <v>70</v>
      </c>
      <c r="N11" s="292">
        <f>IFERROR(IF(K11 = 1, "Completed module", IF(((60 - J11) / (1 - K11)) &gt; 100, "Unattainable", IF(((60 - J11) / (1 - K11)) &lt; 0, "Already attained", ((60 - J11) / (1 - K11))))), "-")</f>
        <v>60</v>
      </c>
      <c r="O11" s="292">
        <f>IFERROR(IF(K11 = 1, "Completed module", IF(((50 - J11) / (1 - K11)) &gt; 100, "Unattainable", IF(((50 - J11) / (1 - K11)) &lt; 0, "Already attained", ((50 - J11) / (1 - K11))))), "-")</f>
        <v>50</v>
      </c>
      <c r="P11" s="295">
        <f>IFERROR(IF(K11 = 1, "Completed module", IF(((40 - J11) / (1 - K11)) &gt; 100, "Unattainable", IF(((40 - J11) / (1 - K11)) &lt; 0, "Already attained", ((40 - J11) / (1 - K11))))), "-")</f>
        <v>40</v>
      </c>
    </row>
    <row r="12" spans="1:21" ht="26.4" x14ac:dyDescent="0.25">
      <c r="A12" s="279"/>
      <c r="B12" s="280"/>
      <c r="C12" s="281"/>
      <c r="D12" s="282"/>
      <c r="E12" s="283"/>
      <c r="F12" s="66" t="s">
        <v>207</v>
      </c>
      <c r="G12" s="67">
        <v>0.1</v>
      </c>
      <c r="H12" s="66" t="s">
        <v>297</v>
      </c>
      <c r="I12" s="113"/>
      <c r="J12" s="293"/>
      <c r="K12" s="293"/>
      <c r="L12" s="293"/>
      <c r="M12" s="293"/>
      <c r="N12" s="293"/>
      <c r="O12" s="293"/>
      <c r="P12" s="296"/>
    </row>
    <row r="13" spans="1:21" ht="27" thickBot="1" x14ac:dyDescent="0.3">
      <c r="A13" s="265"/>
      <c r="B13" s="267"/>
      <c r="C13" s="269"/>
      <c r="D13" s="271"/>
      <c r="E13" s="273"/>
      <c r="F13" s="73" t="s">
        <v>207</v>
      </c>
      <c r="G13" s="74">
        <v>0.1</v>
      </c>
      <c r="H13" s="73" t="s">
        <v>298</v>
      </c>
      <c r="I13" s="120"/>
      <c r="J13" s="294"/>
      <c r="K13" s="294"/>
      <c r="L13" s="294"/>
      <c r="M13" s="294"/>
      <c r="N13" s="294"/>
      <c r="O13" s="294"/>
      <c r="P13" s="297"/>
    </row>
    <row r="14" spans="1:21" ht="14.4" customHeight="1" thickTop="1" x14ac:dyDescent="0.25">
      <c r="A14" s="284" t="s">
        <v>314</v>
      </c>
      <c r="B14" s="285" t="s">
        <v>315</v>
      </c>
      <c r="C14" s="286">
        <v>5</v>
      </c>
      <c r="D14" s="287">
        <v>9.1</v>
      </c>
      <c r="E14" s="288">
        <v>0.4</v>
      </c>
      <c r="F14" s="68" t="s">
        <v>158</v>
      </c>
      <c r="G14" s="69">
        <v>0.75</v>
      </c>
      <c r="H14" s="68" t="s">
        <v>217</v>
      </c>
      <c r="I14" s="20"/>
      <c r="J14" s="166">
        <f>IF(G14=1, I14, SUMPRODUCT(I14:I17, G14:G17))</f>
        <v>0</v>
      </c>
      <c r="K14" s="166">
        <f>SUMIF(I14:I17, "&lt;&gt;", G14:G17) / SUMIF(G14:G17, "&lt;&gt;")</f>
        <v>0</v>
      </c>
      <c r="L14" s="166" t="str">
        <f>IFERROR(J14/K14, "No grades yet")</f>
        <v>No grades yet</v>
      </c>
      <c r="M14" s="166">
        <f>IFERROR(IF(K14 = 1, "Completed module", IF(((70 - J14) / (1 - K14)) &gt; 100, "Unattainable", IF(((70 - J14) / (1 - K14)) &lt; 0, "Already attained", ((70 - J14) / (1 - K14))))), "-")</f>
        <v>70</v>
      </c>
      <c r="N14" s="166">
        <f>IFERROR(IF(K14 = 1, "Completed module", IF(((60 - J14) / (1 - K14)) &gt; 100, "Unattainable", IF(((60 - J14) / (1 - K14)) &lt; 0, "Already attained", ((60 - J14) / (1 - K14))))), "-")</f>
        <v>60</v>
      </c>
      <c r="O14" s="166">
        <f>IFERROR(IF(K14 = 1, "Completed module", IF(((50 - J14) / (1 - K14)) &gt; 100, "Unattainable", IF(((50 - J14) / (1 - K14)) &lt; 0, "Already attained", ((50 - J14) / (1 - K14))))), "-")</f>
        <v>50</v>
      </c>
      <c r="P14" s="189">
        <f>IFERROR(IF(K14 = 1, "Completed module", IF(((40 - J14) / (1 - K14)) &gt; 100, "Unattainable", IF(((40 - J14) / (1 - K14)) &lt; 0, "Already attained", ((40 - J14) / (1 - K14))))), "-")</f>
        <v>40</v>
      </c>
    </row>
    <row r="15" spans="1:21" x14ac:dyDescent="0.25">
      <c r="A15" s="279"/>
      <c r="B15" s="280"/>
      <c r="C15" s="281"/>
      <c r="D15" s="282"/>
      <c r="E15" s="283"/>
      <c r="F15" s="66" t="s">
        <v>199</v>
      </c>
      <c r="G15" s="67">
        <v>0.05</v>
      </c>
      <c r="H15" s="66" t="s">
        <v>316</v>
      </c>
      <c r="I15" s="14"/>
      <c r="J15" s="167"/>
      <c r="K15" s="167"/>
      <c r="L15" s="167"/>
      <c r="M15" s="167"/>
      <c r="N15" s="167"/>
      <c r="O15" s="167"/>
      <c r="P15" s="191"/>
    </row>
    <row r="16" spans="1:21" x14ac:dyDescent="0.25">
      <c r="A16" s="279"/>
      <c r="B16" s="280"/>
      <c r="C16" s="281"/>
      <c r="D16" s="282"/>
      <c r="E16" s="283"/>
      <c r="F16" s="66" t="s">
        <v>199</v>
      </c>
      <c r="G16" s="67">
        <v>0.08</v>
      </c>
      <c r="H16" s="66" t="s">
        <v>317</v>
      </c>
      <c r="I16" s="14"/>
      <c r="J16" s="167"/>
      <c r="K16" s="167"/>
      <c r="L16" s="167"/>
      <c r="M16" s="167"/>
      <c r="N16" s="167"/>
      <c r="O16" s="167"/>
      <c r="P16" s="191"/>
    </row>
    <row r="17" spans="1:16" ht="27" thickBot="1" x14ac:dyDescent="0.3">
      <c r="A17" s="265"/>
      <c r="B17" s="267"/>
      <c r="C17" s="269"/>
      <c r="D17" s="271"/>
      <c r="E17" s="273"/>
      <c r="F17" s="73" t="s">
        <v>207</v>
      </c>
      <c r="G17" s="74">
        <v>0.12</v>
      </c>
      <c r="H17" s="73" t="s">
        <v>318</v>
      </c>
      <c r="I17" s="16"/>
      <c r="J17" s="168"/>
      <c r="K17" s="168"/>
      <c r="L17" s="168"/>
      <c r="M17" s="168"/>
      <c r="N17" s="168"/>
      <c r="O17" s="168"/>
      <c r="P17" s="190"/>
    </row>
    <row r="18" spans="1:16" ht="13.8" thickTop="1" x14ac:dyDescent="0.25">
      <c r="A18" s="284" t="s">
        <v>319</v>
      </c>
      <c r="B18" s="285" t="s">
        <v>320</v>
      </c>
      <c r="C18" s="286">
        <v>5</v>
      </c>
      <c r="D18" s="287">
        <v>9.1</v>
      </c>
      <c r="E18" s="288">
        <v>0.4</v>
      </c>
      <c r="F18" s="68" t="s">
        <v>158</v>
      </c>
      <c r="G18" s="69">
        <v>0.5</v>
      </c>
      <c r="H18" s="68" t="s">
        <v>217</v>
      </c>
      <c r="I18" s="20"/>
      <c r="J18" s="166">
        <f>IF(G18=1, I18, SUMPRODUCT(I18:I19, G18:G19))</f>
        <v>0</v>
      </c>
      <c r="K18" s="166">
        <f>SUMIF(I18:I19, "&lt;&gt;", G18:G19) / SUMIF(G18:G19, "&lt;&gt;")</f>
        <v>0</v>
      </c>
      <c r="L18" s="166" t="str">
        <f>IFERROR(J18/K18, "No grades yet")</f>
        <v>No grades yet</v>
      </c>
      <c r="M18" s="166">
        <f>IFERROR(IF(K18 = 1, "Completed module", IF(((70 - J18) / (1 - K18)) &gt; 100, "Unattainable", IF(((70 - J18) / (1 - K18)) &lt; 0, "Already attained", ((70 - J18) / (1 - K18))))), "-")</f>
        <v>70</v>
      </c>
      <c r="N18" s="166">
        <f>IFERROR(IF(K18 = 1, "Completed module", IF(((60 - J18) / (1 - K18)) &gt; 100, "Unattainable", IF(((60 - J18) / (1 - K18)) &lt; 0, "Already attained", ((60 - J18) / (1 - K18))))), "-")</f>
        <v>60</v>
      </c>
      <c r="O18" s="166">
        <f>IFERROR(IF(K18 = 1, "Completed module", IF(((50 - J18) / (1 - K18)) &gt; 100, "Unattainable", IF(((50 - J18) / (1 - K18)) &lt; 0, "Already attained", ((50 - J18) / (1 - K18))))), "-")</f>
        <v>50</v>
      </c>
      <c r="P18" s="189">
        <f>IFERROR(IF(K18 = 1, "Completed module", IF(((40 - J18) / (1 - K18)) &gt; 100, "Unattainable", IF(((40 - J18) / (1 - K18)) &lt; 0, "Already attained", ((40 - J18) / (1 - K18))))), "-")</f>
        <v>40</v>
      </c>
    </row>
    <row r="19" spans="1:16" ht="27" thickBot="1" x14ac:dyDescent="0.3">
      <c r="A19" s="265"/>
      <c r="B19" s="267"/>
      <c r="C19" s="269"/>
      <c r="D19" s="271"/>
      <c r="E19" s="273"/>
      <c r="F19" s="73" t="s">
        <v>207</v>
      </c>
      <c r="G19" s="74">
        <v>0.5</v>
      </c>
      <c r="H19" s="73" t="s">
        <v>321</v>
      </c>
      <c r="I19" s="16"/>
      <c r="J19" s="168"/>
      <c r="K19" s="168"/>
      <c r="L19" s="168"/>
      <c r="M19" s="168"/>
      <c r="N19" s="168"/>
      <c r="O19" s="168"/>
      <c r="P19" s="190"/>
    </row>
    <row r="20" spans="1:16" ht="13.8" thickTop="1" x14ac:dyDescent="0.25">
      <c r="A20" s="284" t="s">
        <v>322</v>
      </c>
      <c r="B20" s="285" t="s">
        <v>323</v>
      </c>
      <c r="C20" s="286">
        <v>5</v>
      </c>
      <c r="D20" s="287">
        <v>9.1</v>
      </c>
      <c r="E20" s="288">
        <v>0.4</v>
      </c>
      <c r="F20" s="68" t="s">
        <v>158</v>
      </c>
      <c r="G20" s="69">
        <v>0.82</v>
      </c>
      <c r="H20" s="68" t="s">
        <v>217</v>
      </c>
      <c r="I20" s="20"/>
      <c r="J20" s="166">
        <f>IF(G20=1, I20, SUMPRODUCT(I20:I23, G20:G23))</f>
        <v>0</v>
      </c>
      <c r="K20" s="166">
        <f>SUMIF(I20:I23, "&lt;&gt;", G20:G23) / SUMIF(G20:G23, "&lt;&gt;")</f>
        <v>0</v>
      </c>
      <c r="L20" s="166" t="str">
        <f>IFERROR(J20/K20, "No grades yet")</f>
        <v>No grades yet</v>
      </c>
      <c r="M20" s="166">
        <f>IFERROR(IF(K20 = 1, "Completed module", IF(((70 - J20) / (1 - K20)) &gt; 100, "Unattainable", IF(((70 - J20) / (1 - K20)) &lt; 0, "Already attained", ((70 - J20) / (1 - K20))))), "-")</f>
        <v>70</v>
      </c>
      <c r="N20" s="166">
        <f>IFERROR(IF(K20 = 1, "Completed module", IF(((60 - J20) / (1 - K20)) &gt; 100, "Unattainable", IF(((60 - J20) / (1 - K20)) &lt; 0, "Already attained", ((60 - J20) / (1 - K20))))), "-")</f>
        <v>60</v>
      </c>
      <c r="O20" s="166">
        <f>IFERROR(IF(K20 = 1, "Completed module", IF(((50 - J20) / (1 - K20)) &gt; 100, "Unattainable", IF(((50 - J20) / (1 - K20)) &lt; 0, "Already attained", ((50 - J20) / (1 - K20))))), "-")</f>
        <v>50</v>
      </c>
      <c r="P20" s="189">
        <f>IFERROR(IF(K20 = 1, "Completed module", IF(((40 - J20) / (1 - K20)) &gt; 100, "Unattainable", IF(((40 - J20) / (1 - K20)) &lt; 0, "Already attained", ((40 - J20) / (1 - K20))))), "-")</f>
        <v>40</v>
      </c>
    </row>
    <row r="21" spans="1:16" x14ac:dyDescent="0.25">
      <c r="A21" s="279"/>
      <c r="B21" s="280"/>
      <c r="C21" s="281"/>
      <c r="D21" s="282"/>
      <c r="E21" s="283"/>
      <c r="F21" s="66" t="s">
        <v>225</v>
      </c>
      <c r="G21" s="67">
        <v>0.06</v>
      </c>
      <c r="H21" s="66" t="s">
        <v>324</v>
      </c>
      <c r="I21" s="14"/>
      <c r="J21" s="167"/>
      <c r="K21" s="167"/>
      <c r="L21" s="167"/>
      <c r="M21" s="167"/>
      <c r="N21" s="167"/>
      <c r="O21" s="167"/>
      <c r="P21" s="191"/>
    </row>
    <row r="22" spans="1:16" x14ac:dyDescent="0.25">
      <c r="A22" s="279"/>
      <c r="B22" s="280"/>
      <c r="C22" s="281"/>
      <c r="D22" s="282"/>
      <c r="E22" s="283"/>
      <c r="F22" s="66" t="s">
        <v>225</v>
      </c>
      <c r="G22" s="67">
        <v>0.06</v>
      </c>
      <c r="H22" s="66" t="s">
        <v>325</v>
      </c>
      <c r="I22" s="14"/>
      <c r="J22" s="167"/>
      <c r="K22" s="167"/>
      <c r="L22" s="167"/>
      <c r="M22" s="167"/>
      <c r="N22" s="167"/>
      <c r="O22" s="167"/>
      <c r="P22" s="191"/>
    </row>
    <row r="23" spans="1:16" ht="13.8" thickBot="1" x14ac:dyDescent="0.3">
      <c r="A23" s="265"/>
      <c r="B23" s="267"/>
      <c r="C23" s="269"/>
      <c r="D23" s="271"/>
      <c r="E23" s="273"/>
      <c r="F23" s="73" t="s">
        <v>225</v>
      </c>
      <c r="G23" s="74">
        <v>0.06</v>
      </c>
      <c r="H23" s="73" t="s">
        <v>326</v>
      </c>
      <c r="I23" s="16"/>
      <c r="J23" s="168"/>
      <c r="K23" s="168"/>
      <c r="L23" s="168"/>
      <c r="M23" s="168"/>
      <c r="N23" s="168"/>
      <c r="O23" s="168"/>
      <c r="P23" s="190"/>
    </row>
    <row r="24" spans="1:16" ht="13.8" thickTop="1" x14ac:dyDescent="0.25">
      <c r="A24" s="284" t="s">
        <v>327</v>
      </c>
      <c r="B24" s="285" t="s">
        <v>328</v>
      </c>
      <c r="C24" s="286">
        <v>5</v>
      </c>
      <c r="D24" s="287">
        <v>9.1</v>
      </c>
      <c r="E24" s="288">
        <v>0.4</v>
      </c>
      <c r="F24" s="68" t="s">
        <v>158</v>
      </c>
      <c r="G24" s="69">
        <v>0.8</v>
      </c>
      <c r="H24" s="68" t="s">
        <v>217</v>
      </c>
      <c r="I24" s="20"/>
      <c r="J24" s="166">
        <f>IF(G24=1, I24, SUMPRODUCT(I24:I25, G24:G25))</f>
        <v>0</v>
      </c>
      <c r="K24" s="166">
        <f>SUMIF(I24:I25, "&lt;&gt;", G24:G25) / SUMIF(G24:G25, "&lt;&gt;")</f>
        <v>0</v>
      </c>
      <c r="L24" s="166" t="str">
        <f>IFERROR(J24/K24, "No grades yet")</f>
        <v>No grades yet</v>
      </c>
      <c r="M24" s="166">
        <f>IFERROR(IF(K24 = 1, "Completed module", IF(((70 - J24) / (1 - K24)) &gt; 100, "Unattainable", IF(((70 - J24) / (1 - K24)) &lt; 0, "Already attained", ((70 - J24) / (1 - K24))))), "-")</f>
        <v>70</v>
      </c>
      <c r="N24" s="166">
        <f>IFERROR(IF(K24 = 1, "Completed module", IF(((60 - J24) / (1 - K24)) &gt; 100, "Unattainable", IF(((60 - J24) / (1 - K24)) &lt; 0, "Already attained", ((60 - J24) / (1 - K24))))), "-")</f>
        <v>60</v>
      </c>
      <c r="O24" s="166">
        <f>IFERROR(IF(K24 = 1, "Completed module", IF(((50 - J24) / (1 - K24)) &gt; 100, "Unattainable", IF(((50 - J24) / (1 - K24)) &lt; 0, "Already attained", ((50 - J24) / (1 - K24))))), "-")</f>
        <v>50</v>
      </c>
      <c r="P24" s="189">
        <f>IFERROR(IF(K24 = 1, "Completed module", IF(((40 - J24) / (1 - K24)) &gt; 100, "Unattainable", IF(((40 - J24) / (1 - K24)) &lt; 0, "Already attained", ((40 - J24) / (1 - K24))))), "-")</f>
        <v>40</v>
      </c>
    </row>
    <row r="25" spans="1:16" ht="13.8" thickBot="1" x14ac:dyDescent="0.3">
      <c r="A25" s="265"/>
      <c r="B25" s="267"/>
      <c r="C25" s="269"/>
      <c r="D25" s="271"/>
      <c r="E25" s="273"/>
      <c r="F25" s="73" t="s">
        <v>241</v>
      </c>
      <c r="G25" s="74">
        <v>0.2</v>
      </c>
      <c r="H25" s="73" t="s">
        <v>241</v>
      </c>
      <c r="I25" s="16"/>
      <c r="J25" s="168"/>
      <c r="K25" s="168"/>
      <c r="L25" s="168"/>
      <c r="M25" s="168"/>
      <c r="N25" s="168"/>
      <c r="O25" s="168"/>
      <c r="P25" s="190"/>
    </row>
    <row r="26" spans="1:16" ht="13.8" thickTop="1" x14ac:dyDescent="0.25">
      <c r="A26" s="284" t="s">
        <v>329</v>
      </c>
      <c r="B26" s="285" t="s">
        <v>330</v>
      </c>
      <c r="C26" s="286">
        <v>5</v>
      </c>
      <c r="D26" s="287">
        <v>9.1</v>
      </c>
      <c r="E26" s="288">
        <v>0.4</v>
      </c>
      <c r="F26" s="68" t="s">
        <v>158</v>
      </c>
      <c r="G26" s="69">
        <v>0.5</v>
      </c>
      <c r="H26" s="68" t="s">
        <v>217</v>
      </c>
      <c r="I26" s="20"/>
      <c r="J26" s="166">
        <f>IF(G26=1, I26, SUMPRODUCT(I26:I29, G26:G29))</f>
        <v>0</v>
      </c>
      <c r="K26" s="166">
        <f>SUMIF(I26:I29, "&lt;&gt;", G26:G29) / SUMIF(G26:G29, "&lt;&gt;")</f>
        <v>0</v>
      </c>
      <c r="L26" s="166" t="str">
        <f>IFERROR(J26/K26, "No grades yet")</f>
        <v>No grades yet</v>
      </c>
      <c r="M26" s="166">
        <f>IFERROR(IF(K26 = 1, "Completed module", IF(((70 - J26) / (1 - K26)) &gt; 100, "Unattainable", IF(((70 - J26) / (1 - K26)) &lt; 0, "Already attained", ((70 - J26) / (1 - K26))))), "-")</f>
        <v>70</v>
      </c>
      <c r="N26" s="166">
        <f>IFERROR(IF(K26 = 1, "Completed module", IF(((60 - J26) / (1 - K26)) &gt; 100, "Unattainable", IF(((60 - J26) / (1 - K26)) &lt; 0, "Already attained", ((60 - J26) / (1 - K26))))), "-")</f>
        <v>60</v>
      </c>
      <c r="O26" s="166">
        <f>IFERROR(IF(K26 = 1, "Completed module", IF(((50 - J26) / (1 - K26)) &gt; 100, "Unattainable", IF(((50 - J26) / (1 - K26)) &lt; 0, "Already attained", ((50 - J26) / (1 - K26))))), "-")</f>
        <v>50</v>
      </c>
      <c r="P26" s="189">
        <f>IFERROR(IF(K26 = 1, "Completed module", IF(((40 - J26) / (1 - K26)) &gt; 100, "Unattainable", IF(((40 - J26) / (1 - K26)) &lt; 0, "Already attained", ((40 - J26) / (1 - K26))))), "-")</f>
        <v>40</v>
      </c>
    </row>
    <row r="27" spans="1:16" x14ac:dyDescent="0.25">
      <c r="A27" s="279"/>
      <c r="B27" s="280"/>
      <c r="C27" s="281"/>
      <c r="D27" s="282"/>
      <c r="E27" s="283"/>
      <c r="F27" s="66" t="s">
        <v>199</v>
      </c>
      <c r="G27" s="67">
        <v>0.15</v>
      </c>
      <c r="H27" s="66" t="s">
        <v>331</v>
      </c>
      <c r="I27" s="14"/>
      <c r="J27" s="167"/>
      <c r="K27" s="167"/>
      <c r="L27" s="167"/>
      <c r="M27" s="167"/>
      <c r="N27" s="167"/>
      <c r="O27" s="167"/>
      <c r="P27" s="191"/>
    </row>
    <row r="28" spans="1:16" x14ac:dyDescent="0.25">
      <c r="A28" s="279"/>
      <c r="B28" s="280"/>
      <c r="C28" s="281"/>
      <c r="D28" s="282"/>
      <c r="E28" s="283"/>
      <c r="F28" s="66" t="s">
        <v>199</v>
      </c>
      <c r="G28" s="67">
        <v>0.15</v>
      </c>
      <c r="H28" s="66" t="s">
        <v>332</v>
      </c>
      <c r="I28" s="14"/>
      <c r="J28" s="167"/>
      <c r="K28" s="167"/>
      <c r="L28" s="167"/>
      <c r="M28" s="167"/>
      <c r="N28" s="167"/>
      <c r="O28" s="167"/>
      <c r="P28" s="191"/>
    </row>
    <row r="29" spans="1:16" ht="13.8" thickBot="1" x14ac:dyDescent="0.3">
      <c r="A29" s="265"/>
      <c r="B29" s="267"/>
      <c r="C29" s="269"/>
      <c r="D29" s="271"/>
      <c r="E29" s="273"/>
      <c r="F29" s="73" t="s">
        <v>241</v>
      </c>
      <c r="G29" s="74">
        <v>0.2</v>
      </c>
      <c r="H29" s="73" t="s">
        <v>241</v>
      </c>
      <c r="I29" s="16"/>
      <c r="J29" s="168"/>
      <c r="K29" s="168"/>
      <c r="L29" s="168"/>
      <c r="M29" s="168"/>
      <c r="N29" s="168"/>
      <c r="O29" s="168"/>
      <c r="P29" s="190"/>
    </row>
    <row r="30" spans="1:16" ht="23.4" customHeight="1" thickTop="1" x14ac:dyDescent="0.25">
      <c r="A30" s="284" t="s">
        <v>333</v>
      </c>
      <c r="B30" s="285" t="s">
        <v>334</v>
      </c>
      <c r="C30" s="286">
        <v>5</v>
      </c>
      <c r="D30" s="287">
        <v>9.1</v>
      </c>
      <c r="E30" s="288">
        <v>0.4</v>
      </c>
      <c r="F30" s="68" t="s">
        <v>207</v>
      </c>
      <c r="G30" s="69">
        <v>0.7</v>
      </c>
      <c r="H30" s="68" t="s">
        <v>335</v>
      </c>
      <c r="I30" s="20"/>
      <c r="J30" s="166">
        <f>IF(G30=1, I30, SUMPRODUCT(I30:I32, G30:G32))</f>
        <v>0</v>
      </c>
      <c r="K30" s="166">
        <f>SUMIF(I30:I32, "&lt;&gt;", G30:G32) / SUMIF(G30:G32, "&lt;&gt;")</f>
        <v>0</v>
      </c>
      <c r="L30" s="166" t="str">
        <f>IFERROR(J30/K30, "No grades yet")</f>
        <v>No grades yet</v>
      </c>
      <c r="M30" s="166">
        <f>IFERROR(IF(K30 = 1, "Completed module", IF(((70 - J30) / (1 - K30)) &gt; 100, "Unattainable", IF(((70 - J30) / (1 - K30)) &lt; 0, "Already attained", ((70 - J30) / (1 - K30))))), "-")</f>
        <v>70</v>
      </c>
      <c r="N30" s="166">
        <f>IFERROR(IF(K30 = 1, "Completed module", IF(((60 - J30) / (1 - K30)) &gt; 100, "Unattainable", IF(((60 - J30) / (1 - K30)) &lt; 0, "Already attained", ((60 - J30) / (1 - K30))))), "-")</f>
        <v>60</v>
      </c>
      <c r="O30" s="166">
        <f>IFERROR(IF(K30 = 1, "Completed module", IF(((50 - J30) / (1 - K30)) &gt; 100, "Unattainable", IF(((50 - J30) / (1 - K30)) &lt; 0, "Already attained", ((50 - J30) / (1 - K30))))), "-")</f>
        <v>50</v>
      </c>
      <c r="P30" s="189">
        <f>IFERROR(IF(K30 = 1, "Completed module", IF(((40 - J30) / (1 - K30)) &gt; 100, "Unattainable", IF(((40 - J30) / (1 - K30)) &lt; 0, "Already attained", ((40 - J30) / (1 - K30))))), "-")</f>
        <v>40</v>
      </c>
    </row>
    <row r="31" spans="1:16" x14ac:dyDescent="0.25">
      <c r="A31" s="279"/>
      <c r="B31" s="280"/>
      <c r="C31" s="281"/>
      <c r="D31" s="282"/>
      <c r="E31" s="283"/>
      <c r="F31" s="66" t="s">
        <v>196</v>
      </c>
      <c r="G31" s="67">
        <v>0.15</v>
      </c>
      <c r="H31" s="66" t="s">
        <v>336</v>
      </c>
      <c r="I31" s="14"/>
      <c r="J31" s="167"/>
      <c r="K31" s="167"/>
      <c r="L31" s="167"/>
      <c r="M31" s="167"/>
      <c r="N31" s="167"/>
      <c r="O31" s="167"/>
      <c r="P31" s="191"/>
    </row>
    <row r="32" spans="1:16" ht="13.8" thickBot="1" x14ac:dyDescent="0.3">
      <c r="A32" s="265"/>
      <c r="B32" s="267"/>
      <c r="C32" s="269"/>
      <c r="D32" s="271"/>
      <c r="E32" s="273"/>
      <c r="F32" s="73" t="s">
        <v>209</v>
      </c>
      <c r="G32" s="74">
        <v>0.15</v>
      </c>
      <c r="H32" s="73" t="s">
        <v>337</v>
      </c>
      <c r="I32" s="16"/>
      <c r="J32" s="168"/>
      <c r="K32" s="168"/>
      <c r="L32" s="168"/>
      <c r="M32" s="168"/>
      <c r="N32" s="168"/>
      <c r="O32" s="168"/>
      <c r="P32" s="190"/>
    </row>
    <row r="33" spans="1:16" ht="13.8" thickTop="1" x14ac:dyDescent="0.25">
      <c r="A33" s="284" t="s">
        <v>338</v>
      </c>
      <c r="B33" s="285" t="s">
        <v>339</v>
      </c>
      <c r="C33" s="286">
        <v>5</v>
      </c>
      <c r="D33" s="287">
        <v>9.1</v>
      </c>
      <c r="E33" s="288">
        <v>0.4</v>
      </c>
      <c r="F33" s="68" t="s">
        <v>158</v>
      </c>
      <c r="G33" s="69">
        <v>0.7</v>
      </c>
      <c r="H33" s="68" t="s">
        <v>217</v>
      </c>
      <c r="I33" s="20"/>
      <c r="J33" s="166">
        <f>IF(G33=1, I33, SUMPRODUCT(I33:I35, G33:G35))</f>
        <v>0</v>
      </c>
      <c r="K33" s="166">
        <f>SUMIF(I33:I35, "&lt;&gt;", G33:G35) / SUMIF(G33:G35, "&lt;&gt;")</f>
        <v>0</v>
      </c>
      <c r="L33" s="166" t="str">
        <f>IFERROR(J33/K33, "No grades yet")</f>
        <v>No grades yet</v>
      </c>
      <c r="M33" s="166">
        <f>IFERROR(IF(K33 = 1, "Completed module", IF(((70 - J33) / (1 - K33)) &gt; 100, "Unattainable", IF(((70 - J33) / (1 - K33)) &lt; 0, "Already attained", ((70 - J33) / (1 - K33))))), "-")</f>
        <v>70</v>
      </c>
      <c r="N33" s="166">
        <f>IFERROR(IF(K33 = 1, "Completed module", IF(((60 - J33) / (1 - K33)) &gt; 100, "Unattainable", IF(((60 - J33) / (1 - K33)) &lt; 0, "Already attained", ((60 - J33) / (1 - K33))))), "-")</f>
        <v>60</v>
      </c>
      <c r="O33" s="166">
        <f>IFERROR(IF(K33 = 1, "Completed module", IF(((50 - J33) / (1 - K33)) &gt; 100, "Unattainable", IF(((50 - J33) / (1 - K33)) &lt; 0, "Already attained", ((50 - J33) / (1 - K33))))), "-")</f>
        <v>50</v>
      </c>
      <c r="P33" s="189">
        <f>IFERROR(IF(K33 = 1, "Completed module", IF(((40 - J33) / (1 - K33)) &gt; 100, "Unattainable", IF(((40 - J33) / (1 - K33)) &lt; 0, "Already attained", ((40 - J33) / (1 - K33))))), "-")</f>
        <v>40</v>
      </c>
    </row>
    <row r="34" spans="1:16" x14ac:dyDescent="0.25">
      <c r="A34" s="279"/>
      <c r="B34" s="280"/>
      <c r="C34" s="281"/>
      <c r="D34" s="282"/>
      <c r="E34" s="283"/>
      <c r="F34" s="66" t="s">
        <v>199</v>
      </c>
      <c r="G34" s="67">
        <v>0.15</v>
      </c>
      <c r="H34" s="66" t="s">
        <v>340</v>
      </c>
      <c r="I34" s="14"/>
      <c r="J34" s="167"/>
      <c r="K34" s="167"/>
      <c r="L34" s="167"/>
      <c r="M34" s="167"/>
      <c r="N34" s="167"/>
      <c r="O34" s="167"/>
      <c r="P34" s="191"/>
    </row>
    <row r="35" spans="1:16" ht="13.8" thickBot="1" x14ac:dyDescent="0.3">
      <c r="A35" s="265"/>
      <c r="B35" s="267"/>
      <c r="C35" s="269"/>
      <c r="D35" s="271"/>
      <c r="E35" s="273"/>
      <c r="F35" s="73" t="s">
        <v>199</v>
      </c>
      <c r="G35" s="74">
        <v>0.15</v>
      </c>
      <c r="H35" s="73" t="s">
        <v>341</v>
      </c>
      <c r="I35" s="16"/>
      <c r="J35" s="168"/>
      <c r="K35" s="168"/>
      <c r="L35" s="168"/>
      <c r="M35" s="168"/>
      <c r="N35" s="168"/>
      <c r="O35" s="168"/>
      <c r="P35" s="190"/>
    </row>
    <row r="36" spans="1:16" ht="13.8" thickTop="1" x14ac:dyDescent="0.25">
      <c r="A36" s="284" t="s">
        <v>342</v>
      </c>
      <c r="B36" s="285" t="s">
        <v>343</v>
      </c>
      <c r="C36" s="286">
        <v>5</v>
      </c>
      <c r="D36" s="287">
        <v>9.1</v>
      </c>
      <c r="E36" s="288">
        <v>0.4</v>
      </c>
      <c r="F36" s="68" t="s">
        <v>158</v>
      </c>
      <c r="G36" s="69">
        <v>0.75</v>
      </c>
      <c r="H36" s="68" t="s">
        <v>217</v>
      </c>
      <c r="I36" s="20"/>
      <c r="J36" s="166">
        <f>IF(G36=1, I36, SUMPRODUCT(I36:I37, G36:G37))</f>
        <v>0</v>
      </c>
      <c r="K36" s="166">
        <f>SUMIF(I36:I37, "&lt;&gt;", G36:G37) / SUMIF(G36:G37, "&lt;&gt;")</f>
        <v>0</v>
      </c>
      <c r="L36" s="166" t="str">
        <f>IFERROR(J36/K36, "No grades yet")</f>
        <v>No grades yet</v>
      </c>
      <c r="M36" s="166">
        <f>IFERROR(IF(K36 = 1, "Completed module", IF(((70 - J36) / (1 - K36)) &gt; 100, "Unattainable", IF(((70 - J36) / (1 - K36)) &lt; 0, "Already attained", ((70 - J36) / (1 - K36))))), "-")</f>
        <v>70</v>
      </c>
      <c r="N36" s="166">
        <f>IFERROR(IF(K36 = 1, "Completed module", IF(((60 - J36) / (1 - K36)) &gt; 100, "Unattainable", IF(((60 - J36) / (1 - K36)) &lt; 0, "Already attained", ((60 - J36) / (1 - K36))))), "-")</f>
        <v>60</v>
      </c>
      <c r="O36" s="166">
        <f>IFERROR(IF(K36 = 1, "Completed module", IF(((50 - J36) / (1 - K36)) &gt; 100, "Unattainable", IF(((50 - J36) / (1 - K36)) &lt; 0, "Already attained", ((50 - J36) / (1 - K36))))), "-")</f>
        <v>50</v>
      </c>
      <c r="P36" s="189">
        <f>IFERROR(IF(K36 = 1, "Completed module", IF(((40 - J36) / (1 - K36)) &gt; 100, "Unattainable", IF(((40 - J36) / (1 - K36)) &lt; 0, "Already attained", ((40 - J36) / (1 - K36))))), "-")</f>
        <v>40</v>
      </c>
    </row>
    <row r="37" spans="1:16" ht="13.8" thickBot="1" x14ac:dyDescent="0.3">
      <c r="A37" s="274"/>
      <c r="B37" s="275"/>
      <c r="C37" s="276"/>
      <c r="D37" s="277"/>
      <c r="E37" s="278"/>
      <c r="F37" s="118" t="s">
        <v>241</v>
      </c>
      <c r="G37" s="119">
        <v>0.25</v>
      </c>
      <c r="H37" s="118" t="s">
        <v>344</v>
      </c>
      <c r="I37" s="26"/>
      <c r="J37" s="181"/>
      <c r="K37" s="181"/>
      <c r="L37" s="181"/>
      <c r="M37" s="181"/>
      <c r="N37" s="181"/>
      <c r="O37" s="181"/>
      <c r="P37" s="192"/>
    </row>
    <row r="38" spans="1:16" ht="14.4" thickTop="1" thickBot="1" x14ac:dyDescent="0.3">
      <c r="A38" s="122" t="s">
        <v>299</v>
      </c>
      <c r="B38" s="123" t="s">
        <v>300</v>
      </c>
      <c r="C38" s="124">
        <v>5</v>
      </c>
      <c r="D38" s="124">
        <v>0</v>
      </c>
      <c r="E38" s="125" t="s">
        <v>301</v>
      </c>
      <c r="F38" s="126" t="s">
        <v>302</v>
      </c>
      <c r="G38" s="127"/>
      <c r="H38" s="128"/>
      <c r="I38" s="129"/>
      <c r="J38" s="130" t="e">
        <f>IF(G38=1, I38, SUMPRODUCT(I38:I38, G38:G38))</f>
        <v>#VALUE!</v>
      </c>
      <c r="K38" s="130" t="e">
        <f>SUMIF(I38:I38, "&lt;&gt;", G38:G38) / SUMIF(G38:G38, "&lt;&gt;")</f>
        <v>#DIV/0!</v>
      </c>
      <c r="L38" s="130" t="str">
        <f>IFERROR(J38/K38, "No grades yet")</f>
        <v>No grades yet</v>
      </c>
      <c r="M38" s="130" t="str">
        <f>IFERROR(IF(K38 = 1, "Completed module", IF(((70 - J38) / (1 - K38)) &gt; 100, "Unattainable", IF(((70 - J38) / (1 - K38)) &lt; 0, "Already attained", ((70 - J38) / (1 - K38))))), "-")</f>
        <v>-</v>
      </c>
      <c r="N38" s="130" t="str">
        <f>IFERROR(IF(K38 = 1, "Completed module", IF(((60 - J38) / (1 - K38)) &gt; 100, "Unattainable", IF(((60 - J38) / (1 - K38)) &lt; 0, "Already attained", ((60 - J38) / (1 - K38))))), "-")</f>
        <v>-</v>
      </c>
      <c r="O38" s="130" t="str">
        <f>IFERROR(IF(K38 = 1, "Completed module", IF(((50 - J38) / (1 - K38)) &gt; 100, "Unattainable", IF(((50 - J38) / (1 - K38)) &lt; 0, "Already attained", ((50 - J38) / (1 - K38))))), "-")</f>
        <v>-</v>
      </c>
      <c r="P38" s="131" t="str">
        <f>IFERROR(IF(K38 = 1, "Completed module", IF(((40 - J38) / (1 - K38)) &gt; 100, "Unattainable", IF(((40 - J38) / (1 - K38)) &lt; 0, "Already attained", ((40 - J38) / (1 - K38))))), "-")</f>
        <v>-</v>
      </c>
    </row>
    <row r="39" spans="1:16" ht="13.8" thickTop="1" x14ac:dyDescent="0.25"/>
    <row r="40" spans="1:16" x14ac:dyDescent="0.25">
      <c r="A40" s="221" t="s">
        <v>96</v>
      </c>
      <c r="B40" s="222"/>
      <c r="C40" s="3"/>
      <c r="D40" s="3"/>
      <c r="E40" s="3"/>
      <c r="F40" s="3"/>
      <c r="G40" s="3"/>
      <c r="H40" s="3"/>
    </row>
    <row r="41" spans="1:16" ht="13.8" thickBot="1" x14ac:dyDescent="0.3">
      <c r="A41" s="8"/>
      <c r="B41" s="9"/>
      <c r="C41" s="3"/>
      <c r="D41" s="3"/>
      <c r="E41" s="3"/>
      <c r="F41" s="3"/>
      <c r="G41" s="3"/>
      <c r="H41" s="3"/>
    </row>
    <row r="42" spans="1:16" ht="13.8" thickBot="1" x14ac:dyDescent="0.3">
      <c r="A42" s="132" t="s">
        <v>67</v>
      </c>
      <c r="B42" s="133" t="s">
        <v>3</v>
      </c>
      <c r="C42" s="134" t="s">
        <v>0</v>
      </c>
      <c r="D42" s="134" t="s">
        <v>93</v>
      </c>
      <c r="E42" s="134" t="s">
        <v>94</v>
      </c>
      <c r="F42" s="289" t="s">
        <v>95</v>
      </c>
      <c r="G42" s="290"/>
      <c r="H42" s="291"/>
      <c r="I42" s="134" t="s">
        <v>4</v>
      </c>
      <c r="J42" s="134" t="s">
        <v>5</v>
      </c>
      <c r="K42" s="134" t="s">
        <v>6</v>
      </c>
      <c r="L42" s="135" t="s">
        <v>7</v>
      </c>
      <c r="M42" s="134" t="s">
        <v>8</v>
      </c>
      <c r="N42" s="136" t="s">
        <v>9</v>
      </c>
      <c r="O42" s="17" t="s">
        <v>202</v>
      </c>
      <c r="P42" s="17" t="s">
        <v>203</v>
      </c>
    </row>
    <row r="43" spans="1:16" ht="22.8" customHeight="1" thickTop="1" x14ac:dyDescent="0.25">
      <c r="A43" s="284" t="s">
        <v>314</v>
      </c>
      <c r="B43" s="285" t="s">
        <v>315</v>
      </c>
      <c r="C43" s="286">
        <v>5</v>
      </c>
      <c r="D43" s="287">
        <v>9.1</v>
      </c>
      <c r="E43" s="288">
        <v>0.4</v>
      </c>
      <c r="F43" s="68" t="s">
        <v>158</v>
      </c>
      <c r="G43" s="69">
        <v>0.75</v>
      </c>
      <c r="H43" s="68" t="s">
        <v>217</v>
      </c>
      <c r="I43" s="20"/>
      <c r="J43" s="166">
        <f>IF(G43=1, I43, SUMPRODUCT(I43:I46, G43:G46))</f>
        <v>0</v>
      </c>
      <c r="K43" s="166">
        <f>SUMIF(I43:I46, "&lt;&gt;", G43:G46) / SUMIF(G43:G46, "&lt;&gt;")</f>
        <v>0</v>
      </c>
      <c r="L43" s="166" t="str">
        <f>IFERROR(J43/K43, "No grades yet")</f>
        <v>No grades yet</v>
      </c>
      <c r="M43" s="166">
        <f>IFERROR(IF(K43 = 1, "Completed module", IF(((70 - J43) / (1 - K43)) &gt; 100, "Unattainable", IF(((70 - J43) / (1 - K43)) &lt; 0, "Already attained", ((70 - J43) / (1 - K43))))), "-")</f>
        <v>70</v>
      </c>
      <c r="N43" s="166">
        <f>IFERROR(IF(K43 = 1, "Completed module", IF(((60 - J43) / (1 - K43)) &gt; 100, "Unattainable", IF(((60 - J43) / (1 - K43)) &lt; 0, "Already attained", ((60 - J43) / (1 - K43))))), "-")</f>
        <v>60</v>
      </c>
      <c r="O43" s="166">
        <f>IFERROR(IF(K43 = 1, "Completed module", IF(((50 - J43) / (1 - K43)) &gt; 100, "Unattainable", IF(((50 - J43) / (1 - K43)) &lt; 0, "Already attained", ((50 - J43) / (1 - K43))))), "-")</f>
        <v>50</v>
      </c>
      <c r="P43" s="189">
        <f>IFERROR(IF(K43 = 1, "Completed module", IF(((40 - J43) / (1 - K43)) &gt; 100, "Unattainable", IF(((40 - J43) / (1 - K43)) &lt; 0, "Already attained", ((40 - J43) / (1 - K43))))), "-")</f>
        <v>40</v>
      </c>
    </row>
    <row r="44" spans="1:16" x14ac:dyDescent="0.25">
      <c r="A44" s="279"/>
      <c r="B44" s="280"/>
      <c r="C44" s="281"/>
      <c r="D44" s="282"/>
      <c r="E44" s="283"/>
      <c r="F44" s="66" t="s">
        <v>199</v>
      </c>
      <c r="G44" s="67">
        <v>0.05</v>
      </c>
      <c r="H44" s="66" t="s">
        <v>316</v>
      </c>
      <c r="I44" s="14"/>
      <c r="J44" s="167"/>
      <c r="K44" s="167"/>
      <c r="L44" s="167"/>
      <c r="M44" s="167"/>
      <c r="N44" s="167"/>
      <c r="O44" s="167"/>
      <c r="P44" s="191"/>
    </row>
    <row r="45" spans="1:16" x14ac:dyDescent="0.25">
      <c r="A45" s="279"/>
      <c r="B45" s="280"/>
      <c r="C45" s="281"/>
      <c r="D45" s="282"/>
      <c r="E45" s="283"/>
      <c r="F45" s="66" t="s">
        <v>199</v>
      </c>
      <c r="G45" s="67">
        <v>0.08</v>
      </c>
      <c r="H45" s="66" t="s">
        <v>317</v>
      </c>
      <c r="I45" s="14"/>
      <c r="J45" s="167"/>
      <c r="K45" s="167"/>
      <c r="L45" s="167"/>
      <c r="M45" s="167"/>
      <c r="N45" s="167"/>
      <c r="O45" s="167"/>
      <c r="P45" s="191"/>
    </row>
    <row r="46" spans="1:16" ht="27" thickBot="1" x14ac:dyDescent="0.3">
      <c r="A46" s="265"/>
      <c r="B46" s="267"/>
      <c r="C46" s="269"/>
      <c r="D46" s="271"/>
      <c r="E46" s="273"/>
      <c r="F46" s="73" t="s">
        <v>207</v>
      </c>
      <c r="G46" s="74">
        <v>0.12</v>
      </c>
      <c r="H46" s="73" t="s">
        <v>318</v>
      </c>
      <c r="I46" s="16"/>
      <c r="J46" s="168"/>
      <c r="K46" s="168"/>
      <c r="L46" s="168"/>
      <c r="M46" s="168"/>
      <c r="N46" s="168"/>
      <c r="O46" s="168"/>
      <c r="P46" s="190"/>
    </row>
    <row r="47" spans="1:16" ht="13.8" thickTop="1" x14ac:dyDescent="0.25">
      <c r="A47" s="284" t="s">
        <v>319</v>
      </c>
      <c r="B47" s="285" t="s">
        <v>320</v>
      </c>
      <c r="C47" s="286">
        <v>5</v>
      </c>
      <c r="D47" s="287">
        <v>9.1</v>
      </c>
      <c r="E47" s="288">
        <v>0.4</v>
      </c>
      <c r="F47" s="68" t="s">
        <v>158</v>
      </c>
      <c r="G47" s="69">
        <v>0.5</v>
      </c>
      <c r="H47" s="68" t="s">
        <v>217</v>
      </c>
      <c r="I47" s="20"/>
      <c r="J47" s="166">
        <f>IF(G47=1, I47, SUMPRODUCT(I47:I48, G47:G48))</f>
        <v>0</v>
      </c>
      <c r="K47" s="166">
        <f>SUMIF(I47:I48, "&lt;&gt;", G47:G48) / SUMIF(G47:G48, "&lt;&gt;")</f>
        <v>0</v>
      </c>
      <c r="L47" s="166" t="str">
        <f>IFERROR(J47/K47, "No grades yet")</f>
        <v>No grades yet</v>
      </c>
      <c r="M47" s="166">
        <f>IFERROR(IF(K47 = 1, "Completed module", IF(((70 - J47) / (1 - K47)) &gt; 100, "Unattainable", IF(((70 - J47) / (1 - K47)) &lt; 0, "Already attained", ((70 - J47) / (1 - K47))))), "-")</f>
        <v>70</v>
      </c>
      <c r="N47" s="166">
        <f>IFERROR(IF(K47 = 1, "Completed module", IF(((60 - J47) / (1 - K47)) &gt; 100, "Unattainable", IF(((60 - J47) / (1 - K47)) &lt; 0, "Already attained", ((60 - J47) / (1 - K47))))), "-")</f>
        <v>60</v>
      </c>
      <c r="O47" s="166">
        <f>IFERROR(IF(K47 = 1, "Completed module", IF(((50 - J47) / (1 - K47)) &gt; 100, "Unattainable", IF(((50 - J47) / (1 - K47)) &lt; 0, "Already attained", ((50 - J47) / (1 - K47))))), "-")</f>
        <v>50</v>
      </c>
      <c r="P47" s="189">
        <f>IFERROR(IF(K47 = 1, "Completed module", IF(((40 - J47) / (1 - K47)) &gt; 100, "Unattainable", IF(((40 - J47) / (1 - K47)) &lt; 0, "Already attained", ((40 - J47) / (1 - K47))))), "-")</f>
        <v>40</v>
      </c>
    </row>
    <row r="48" spans="1:16" ht="27" thickBot="1" x14ac:dyDescent="0.3">
      <c r="A48" s="265"/>
      <c r="B48" s="267"/>
      <c r="C48" s="269"/>
      <c r="D48" s="271"/>
      <c r="E48" s="273"/>
      <c r="F48" s="73" t="s">
        <v>207</v>
      </c>
      <c r="G48" s="74">
        <v>0.5</v>
      </c>
      <c r="H48" s="73" t="s">
        <v>321</v>
      </c>
      <c r="I48" s="16"/>
      <c r="J48" s="168"/>
      <c r="K48" s="168"/>
      <c r="L48" s="168"/>
      <c r="M48" s="168"/>
      <c r="N48" s="168"/>
      <c r="O48" s="168"/>
      <c r="P48" s="190"/>
    </row>
    <row r="49" spans="1:16" ht="13.8" thickTop="1" x14ac:dyDescent="0.25">
      <c r="A49" s="284" t="s">
        <v>322</v>
      </c>
      <c r="B49" s="285" t="s">
        <v>323</v>
      </c>
      <c r="C49" s="286">
        <v>5</v>
      </c>
      <c r="D49" s="287">
        <v>9.1</v>
      </c>
      <c r="E49" s="288">
        <v>0.4</v>
      </c>
      <c r="F49" s="68" t="s">
        <v>158</v>
      </c>
      <c r="G49" s="69">
        <v>0.82</v>
      </c>
      <c r="H49" s="68" t="s">
        <v>217</v>
      </c>
      <c r="I49" s="20"/>
      <c r="J49" s="166">
        <f>IF(G49=1, I49, SUMPRODUCT(I49:I52, G49:G52))</f>
        <v>0</v>
      </c>
      <c r="K49" s="166">
        <f>SUMIF(I49:I52, "&lt;&gt;", G49:G52) / SUMIF(G49:G52, "&lt;&gt;")</f>
        <v>0</v>
      </c>
      <c r="L49" s="166" t="str">
        <f>IFERROR(J49/K49, "No grades yet")</f>
        <v>No grades yet</v>
      </c>
      <c r="M49" s="166">
        <f>IFERROR(IF(K49 = 1, "Completed module", IF(((70 - J49) / (1 - K49)) &gt; 100, "Unattainable", IF(((70 - J49) / (1 - K49)) &lt; 0, "Already attained", ((70 - J49) / (1 - K49))))), "-")</f>
        <v>70</v>
      </c>
      <c r="N49" s="166">
        <f>IFERROR(IF(K49 = 1, "Completed module", IF(((60 - J49) / (1 - K49)) &gt; 100, "Unattainable", IF(((60 - J49) / (1 - K49)) &lt; 0, "Already attained", ((60 - J49) / (1 - K49))))), "-")</f>
        <v>60</v>
      </c>
      <c r="O49" s="166">
        <f>IFERROR(IF(K49 = 1, "Completed module", IF(((50 - J49) / (1 - K49)) &gt; 100, "Unattainable", IF(((50 - J49) / (1 - K49)) &lt; 0, "Already attained", ((50 - J49) / (1 - K49))))), "-")</f>
        <v>50</v>
      </c>
      <c r="P49" s="189">
        <f>IFERROR(IF(K49 = 1, "Completed module", IF(((40 - J49) / (1 - K49)) &gt; 100, "Unattainable", IF(((40 - J49) / (1 - K49)) &lt; 0, "Already attained", ((40 - J49) / (1 - K49))))), "-")</f>
        <v>40</v>
      </c>
    </row>
    <row r="50" spans="1:16" x14ac:dyDescent="0.25">
      <c r="A50" s="279"/>
      <c r="B50" s="280"/>
      <c r="C50" s="281"/>
      <c r="D50" s="282"/>
      <c r="E50" s="283"/>
      <c r="F50" s="66" t="s">
        <v>225</v>
      </c>
      <c r="G50" s="67">
        <v>0.06</v>
      </c>
      <c r="H50" s="66" t="s">
        <v>324</v>
      </c>
      <c r="I50" s="14"/>
      <c r="J50" s="167"/>
      <c r="K50" s="167"/>
      <c r="L50" s="167"/>
      <c r="M50" s="167"/>
      <c r="N50" s="167"/>
      <c r="O50" s="167"/>
      <c r="P50" s="191"/>
    </row>
    <row r="51" spans="1:16" x14ac:dyDescent="0.25">
      <c r="A51" s="279"/>
      <c r="B51" s="280"/>
      <c r="C51" s="281"/>
      <c r="D51" s="282"/>
      <c r="E51" s="283"/>
      <c r="F51" s="66" t="s">
        <v>225</v>
      </c>
      <c r="G51" s="67">
        <v>0.06</v>
      </c>
      <c r="H51" s="66" t="s">
        <v>325</v>
      </c>
      <c r="I51" s="14"/>
      <c r="J51" s="167"/>
      <c r="K51" s="167"/>
      <c r="L51" s="167"/>
      <c r="M51" s="167"/>
      <c r="N51" s="167"/>
      <c r="O51" s="167"/>
      <c r="P51" s="191"/>
    </row>
    <row r="52" spans="1:16" ht="13.8" thickBot="1" x14ac:dyDescent="0.3">
      <c r="A52" s="265"/>
      <c r="B52" s="267"/>
      <c r="C52" s="269"/>
      <c r="D52" s="271"/>
      <c r="E52" s="273"/>
      <c r="F52" s="73" t="s">
        <v>225</v>
      </c>
      <c r="G52" s="74">
        <v>0.06</v>
      </c>
      <c r="H52" s="73" t="s">
        <v>326</v>
      </c>
      <c r="I52" s="16"/>
      <c r="J52" s="168"/>
      <c r="K52" s="168"/>
      <c r="L52" s="168"/>
      <c r="M52" s="168"/>
      <c r="N52" s="168"/>
      <c r="O52" s="168"/>
      <c r="P52" s="190"/>
    </row>
    <row r="53" spans="1:16" ht="34.799999999999997" customHeight="1" thickTop="1" x14ac:dyDescent="0.25">
      <c r="A53" s="284" t="s">
        <v>345</v>
      </c>
      <c r="B53" s="285" t="s">
        <v>346</v>
      </c>
      <c r="C53" s="286">
        <v>5</v>
      </c>
      <c r="D53" s="287">
        <v>9.1</v>
      </c>
      <c r="E53" s="288">
        <v>0.4</v>
      </c>
      <c r="F53" s="68" t="s">
        <v>347</v>
      </c>
      <c r="G53" s="69">
        <v>0.3</v>
      </c>
      <c r="H53" s="68" t="s">
        <v>347</v>
      </c>
      <c r="I53" s="20"/>
      <c r="J53" s="166">
        <f>IF(G53=1, I53, SUMPRODUCT(I53:I57, G53:G57))</f>
        <v>0</v>
      </c>
      <c r="K53" s="166">
        <f>SUMIF(I53:I57, "&lt;&gt;", G53:G57) / SUMIF(G53:G57, "&lt;&gt;")</f>
        <v>0</v>
      </c>
      <c r="L53" s="166" t="str">
        <f>IFERROR(J53/K53, "No grades yet")</f>
        <v>No grades yet</v>
      </c>
      <c r="M53" s="166">
        <f>IFERROR(IF(K53 = 1, "Completed module", IF(((70 - J53) / (1 - K53)) &gt; 100, "Unattainable", IF(((70 - J53) / (1 - K53)) &lt; 0, "Already attained", ((70 - J53) / (1 - K53))))), "-")</f>
        <v>70</v>
      </c>
      <c r="N53" s="166">
        <f>IFERROR(IF(K53 = 1, "Completed module", IF(((60 - J53) / (1 - K53)) &gt; 100, "Unattainable", IF(((60 - J53) / (1 - K53)) &lt; 0, "Already attained", ((60 - J53) / (1 - K53))))), "-")</f>
        <v>60</v>
      </c>
      <c r="O53" s="166">
        <f>IFERROR(IF(K53 = 1, "Completed module", IF(((50 - J53) / (1 - K53)) &gt; 100, "Unattainable", IF(((50 - J53) / (1 - K53)) &lt; 0, "Already attained", ((50 - J53) / (1 - K53))))), "-")</f>
        <v>50</v>
      </c>
      <c r="P53" s="189">
        <f>IFERROR(IF(K53 = 1, "Completed module", IF(((40 - J53) / (1 - K53)) &gt; 100, "Unattainable", IF(((40 - J53) / (1 - K53)) &lt; 0, "Already attained", ((40 - J53) / (1 - K53))))), "-")</f>
        <v>40</v>
      </c>
    </row>
    <row r="54" spans="1:16" x14ac:dyDescent="0.25">
      <c r="A54" s="279"/>
      <c r="B54" s="280"/>
      <c r="C54" s="281"/>
      <c r="D54" s="282"/>
      <c r="E54" s="283"/>
      <c r="F54" s="66" t="s">
        <v>207</v>
      </c>
      <c r="G54" s="67">
        <v>0.1</v>
      </c>
      <c r="H54" s="66" t="s">
        <v>348</v>
      </c>
      <c r="I54" s="14"/>
      <c r="J54" s="167"/>
      <c r="K54" s="167"/>
      <c r="L54" s="167"/>
      <c r="M54" s="167"/>
      <c r="N54" s="167"/>
      <c r="O54" s="167"/>
      <c r="P54" s="191"/>
    </row>
    <row r="55" spans="1:16" x14ac:dyDescent="0.25">
      <c r="A55" s="279"/>
      <c r="B55" s="280"/>
      <c r="C55" s="281"/>
      <c r="D55" s="282"/>
      <c r="E55" s="283"/>
      <c r="F55" s="66" t="s">
        <v>207</v>
      </c>
      <c r="G55" s="67">
        <v>0.1</v>
      </c>
      <c r="H55" s="66" t="s">
        <v>349</v>
      </c>
      <c r="I55" s="14"/>
      <c r="J55" s="167"/>
      <c r="K55" s="167"/>
      <c r="L55" s="167"/>
      <c r="M55" s="167"/>
      <c r="N55" s="167"/>
      <c r="O55" s="167"/>
      <c r="P55" s="191"/>
    </row>
    <row r="56" spans="1:16" x14ac:dyDescent="0.25">
      <c r="A56" s="279"/>
      <c r="B56" s="280"/>
      <c r="C56" s="281"/>
      <c r="D56" s="282"/>
      <c r="E56" s="283"/>
      <c r="F56" s="66" t="s">
        <v>209</v>
      </c>
      <c r="G56" s="67">
        <v>0.4</v>
      </c>
      <c r="H56" s="66" t="s">
        <v>350</v>
      </c>
      <c r="I56" s="14"/>
      <c r="J56" s="167"/>
      <c r="K56" s="167"/>
      <c r="L56" s="167"/>
      <c r="M56" s="167"/>
      <c r="N56" s="167"/>
      <c r="O56" s="167"/>
      <c r="P56" s="191"/>
    </row>
    <row r="57" spans="1:16" ht="13.8" thickBot="1" x14ac:dyDescent="0.3">
      <c r="A57" s="265"/>
      <c r="B57" s="267"/>
      <c r="C57" s="269"/>
      <c r="D57" s="271"/>
      <c r="E57" s="273"/>
      <c r="F57" s="73" t="s">
        <v>207</v>
      </c>
      <c r="G57" s="74">
        <v>0.1</v>
      </c>
      <c r="H57" s="73" t="s">
        <v>351</v>
      </c>
      <c r="I57" s="16"/>
      <c r="J57" s="168"/>
      <c r="K57" s="168"/>
      <c r="L57" s="168"/>
      <c r="M57" s="168"/>
      <c r="N57" s="168"/>
      <c r="O57" s="168"/>
      <c r="P57" s="190"/>
    </row>
    <row r="58" spans="1:16" ht="13.8" thickTop="1" x14ac:dyDescent="0.25">
      <c r="A58" s="284" t="s">
        <v>327</v>
      </c>
      <c r="B58" s="285" t="s">
        <v>328</v>
      </c>
      <c r="C58" s="286">
        <v>5</v>
      </c>
      <c r="D58" s="287">
        <v>9.1</v>
      </c>
      <c r="E58" s="288">
        <v>0.4</v>
      </c>
      <c r="F58" s="68" t="s">
        <v>158</v>
      </c>
      <c r="G58" s="69">
        <v>0.8</v>
      </c>
      <c r="H58" s="68" t="s">
        <v>217</v>
      </c>
      <c r="I58" s="20"/>
      <c r="J58" s="166">
        <f>IF(G58=1, I58, SUMPRODUCT(I58:I59, G58:G59))</f>
        <v>0</v>
      </c>
      <c r="K58" s="166">
        <f>SUMIF(I58:I59, "&lt;&gt;", G58:G59) / SUMIF(G58:G59, "&lt;&gt;")</f>
        <v>0</v>
      </c>
      <c r="L58" s="166" t="str">
        <f>IFERROR(J58/K58, "No grades yet")</f>
        <v>No grades yet</v>
      </c>
      <c r="M58" s="166">
        <f>IFERROR(IF(K58 = 1, "Completed module", IF(((70 - J58) / (1 - K58)) &gt; 100, "Unattainable", IF(((70 - J58) / (1 - K58)) &lt; 0, "Already attained", ((70 - J58) / (1 - K58))))), "-")</f>
        <v>70</v>
      </c>
      <c r="N58" s="166">
        <f>IFERROR(IF(K58 = 1, "Completed module", IF(((60 - J58) / (1 - K58)) &gt; 100, "Unattainable", IF(((60 - J58) / (1 - K58)) &lt; 0, "Already attained", ((60 - J58) / (1 - K58))))), "-")</f>
        <v>60</v>
      </c>
      <c r="O58" s="166">
        <f>IFERROR(IF(K58 = 1, "Completed module", IF(((50 - J58) / (1 - K58)) &gt; 100, "Unattainable", IF(((50 - J58) / (1 - K58)) &lt; 0, "Already attained", ((50 - J58) / (1 - K58))))), "-")</f>
        <v>50</v>
      </c>
      <c r="P58" s="189">
        <f>IFERROR(IF(K58 = 1, "Completed module", IF(((40 - J58) / (1 - K58)) &gt; 100, "Unattainable", IF(((40 - J58) / (1 - K58)) &lt; 0, "Already attained", ((40 - J58) / (1 - K58))))), "-")</f>
        <v>40</v>
      </c>
    </row>
    <row r="59" spans="1:16" ht="13.8" thickBot="1" x14ac:dyDescent="0.3">
      <c r="A59" s="265"/>
      <c r="B59" s="267"/>
      <c r="C59" s="269"/>
      <c r="D59" s="271"/>
      <c r="E59" s="273"/>
      <c r="F59" s="73" t="s">
        <v>241</v>
      </c>
      <c r="G59" s="74">
        <v>0.2</v>
      </c>
      <c r="H59" s="73" t="s">
        <v>241</v>
      </c>
      <c r="I59" s="16"/>
      <c r="J59" s="168"/>
      <c r="K59" s="168"/>
      <c r="L59" s="168"/>
      <c r="M59" s="168"/>
      <c r="N59" s="168"/>
      <c r="O59" s="168"/>
      <c r="P59" s="190"/>
    </row>
    <row r="60" spans="1:16" ht="13.8" thickTop="1" x14ac:dyDescent="0.25">
      <c r="A60" s="284" t="s">
        <v>329</v>
      </c>
      <c r="B60" s="285" t="s">
        <v>330</v>
      </c>
      <c r="C60" s="286">
        <v>5</v>
      </c>
      <c r="D60" s="287">
        <v>9.1</v>
      </c>
      <c r="E60" s="288">
        <v>0.4</v>
      </c>
      <c r="F60" s="68" t="s">
        <v>158</v>
      </c>
      <c r="G60" s="69">
        <v>0.5</v>
      </c>
      <c r="H60" s="68" t="s">
        <v>217</v>
      </c>
      <c r="I60" s="20"/>
      <c r="J60" s="166">
        <f>IF(G60=1, I60, SUMPRODUCT(I60:I63, G60:G63))</f>
        <v>0</v>
      </c>
      <c r="K60" s="166">
        <f>SUMIF(I60:I63, "&lt;&gt;", G60:G63) / SUMIF(G60:G63, "&lt;&gt;")</f>
        <v>0</v>
      </c>
      <c r="L60" s="166" t="str">
        <f>IFERROR(J60/K60, "No grades yet")</f>
        <v>No grades yet</v>
      </c>
      <c r="M60" s="166">
        <f>IFERROR(IF(K60 = 1, "Completed module", IF(((70 - J60) / (1 - K60)) &gt; 100, "Unattainable", IF(((70 - J60) / (1 - K60)) &lt; 0, "Already attained", ((70 - J60) / (1 - K60))))), "-")</f>
        <v>70</v>
      </c>
      <c r="N60" s="166">
        <f>IFERROR(IF(K60 = 1, "Completed module", IF(((60 - J60) / (1 - K60)) &gt; 100, "Unattainable", IF(((60 - J60) / (1 - K60)) &lt; 0, "Already attained", ((60 - J60) / (1 - K60))))), "-")</f>
        <v>60</v>
      </c>
      <c r="O60" s="166">
        <f>IFERROR(IF(K60 = 1, "Completed module", IF(((50 - J60) / (1 - K60)) &gt; 100, "Unattainable", IF(((50 - J60) / (1 - K60)) &lt; 0, "Already attained", ((50 - J60) / (1 - K60))))), "-")</f>
        <v>50</v>
      </c>
      <c r="P60" s="189">
        <f>IFERROR(IF(K60 = 1, "Completed module", IF(((40 - J60) / (1 - K60)) &gt; 100, "Unattainable", IF(((40 - J60) / (1 - K60)) &lt; 0, "Already attained", ((40 - J60) / (1 - K60))))), "-")</f>
        <v>40</v>
      </c>
    </row>
    <row r="61" spans="1:16" x14ac:dyDescent="0.25">
      <c r="A61" s="279"/>
      <c r="B61" s="280"/>
      <c r="C61" s="281"/>
      <c r="D61" s="282"/>
      <c r="E61" s="283"/>
      <c r="F61" s="66" t="s">
        <v>199</v>
      </c>
      <c r="G61" s="67">
        <v>0.15</v>
      </c>
      <c r="H61" s="66" t="s">
        <v>331</v>
      </c>
      <c r="I61" s="14"/>
      <c r="J61" s="167"/>
      <c r="K61" s="167"/>
      <c r="L61" s="167"/>
      <c r="M61" s="167"/>
      <c r="N61" s="167"/>
      <c r="O61" s="167"/>
      <c r="P61" s="191"/>
    </row>
    <row r="62" spans="1:16" x14ac:dyDescent="0.25">
      <c r="A62" s="279"/>
      <c r="B62" s="280"/>
      <c r="C62" s="281"/>
      <c r="D62" s="282"/>
      <c r="E62" s="283"/>
      <c r="F62" s="66" t="s">
        <v>199</v>
      </c>
      <c r="G62" s="67">
        <v>0.15</v>
      </c>
      <c r="H62" s="66" t="s">
        <v>332</v>
      </c>
      <c r="I62" s="14"/>
      <c r="J62" s="167"/>
      <c r="K62" s="167"/>
      <c r="L62" s="167"/>
      <c r="M62" s="167"/>
      <c r="N62" s="167"/>
      <c r="O62" s="167"/>
      <c r="P62" s="191"/>
    </row>
    <row r="63" spans="1:16" ht="13.8" thickBot="1" x14ac:dyDescent="0.3">
      <c r="A63" s="265"/>
      <c r="B63" s="267"/>
      <c r="C63" s="269"/>
      <c r="D63" s="271"/>
      <c r="E63" s="273"/>
      <c r="F63" s="73" t="s">
        <v>241</v>
      </c>
      <c r="G63" s="74">
        <v>0.2</v>
      </c>
      <c r="H63" s="73" t="s">
        <v>241</v>
      </c>
      <c r="I63" s="16"/>
      <c r="J63" s="168"/>
      <c r="K63" s="168"/>
      <c r="L63" s="168"/>
      <c r="M63" s="168"/>
      <c r="N63" s="168"/>
      <c r="O63" s="168"/>
      <c r="P63" s="190"/>
    </row>
    <row r="64" spans="1:16" ht="23.4" customHeight="1" thickTop="1" x14ac:dyDescent="0.25">
      <c r="A64" s="284" t="s">
        <v>333</v>
      </c>
      <c r="B64" s="285" t="s">
        <v>334</v>
      </c>
      <c r="C64" s="286">
        <v>5</v>
      </c>
      <c r="D64" s="287">
        <v>9.1</v>
      </c>
      <c r="E64" s="288">
        <v>0.4</v>
      </c>
      <c r="F64" s="68" t="s">
        <v>207</v>
      </c>
      <c r="G64" s="69">
        <v>0.7</v>
      </c>
      <c r="H64" s="68" t="s">
        <v>335</v>
      </c>
      <c r="I64" s="20"/>
      <c r="J64" s="166">
        <f>IF(G64=1, I64, SUMPRODUCT(I64:I66, G64:G66))</f>
        <v>0</v>
      </c>
      <c r="K64" s="166">
        <f>SUMIF(I64:I66, "&lt;&gt;", G64:G66) / SUMIF(G64:G66, "&lt;&gt;")</f>
        <v>0</v>
      </c>
      <c r="L64" s="166" t="str">
        <f>IFERROR(J64/K64, "No grades yet")</f>
        <v>No grades yet</v>
      </c>
      <c r="M64" s="166">
        <f>IFERROR(IF(K64 = 1, "Completed module", IF(((70 - J64) / (1 - K64)) &gt; 100, "Unattainable", IF(((70 - J64) / (1 - K64)) &lt; 0, "Already attained", ((70 - J64) / (1 - K64))))), "-")</f>
        <v>70</v>
      </c>
      <c r="N64" s="166">
        <f>IFERROR(IF(K64 = 1, "Completed module", IF(((60 - J64) / (1 - K64)) &gt; 100, "Unattainable", IF(((60 - J64) / (1 - K64)) &lt; 0, "Already attained", ((60 - J64) / (1 - K64))))), "-")</f>
        <v>60</v>
      </c>
      <c r="O64" s="166">
        <f>IFERROR(IF(K64 = 1, "Completed module", IF(((50 - J64) / (1 - K64)) &gt; 100, "Unattainable", IF(((50 - J64) / (1 - K64)) &lt; 0, "Already attained", ((50 - J64) / (1 - K64))))), "-")</f>
        <v>50</v>
      </c>
      <c r="P64" s="189">
        <f>IFERROR(IF(K64 = 1, "Completed module", IF(((40 - J64) / (1 - K64)) &gt; 100, "Unattainable", IF(((40 - J64) / (1 - K64)) &lt; 0, "Already attained", ((40 - J64) / (1 - K64))))), "-")</f>
        <v>40</v>
      </c>
    </row>
    <row r="65" spans="1:16" x14ac:dyDescent="0.25">
      <c r="A65" s="279"/>
      <c r="B65" s="280"/>
      <c r="C65" s="281"/>
      <c r="D65" s="282"/>
      <c r="E65" s="283"/>
      <c r="F65" s="66" t="s">
        <v>196</v>
      </c>
      <c r="G65" s="67">
        <v>0.15</v>
      </c>
      <c r="H65" s="66" t="s">
        <v>336</v>
      </c>
      <c r="I65" s="14"/>
      <c r="J65" s="167"/>
      <c r="K65" s="167"/>
      <c r="L65" s="167"/>
      <c r="M65" s="167"/>
      <c r="N65" s="167"/>
      <c r="O65" s="167"/>
      <c r="P65" s="191"/>
    </row>
    <row r="66" spans="1:16" ht="13.8" thickBot="1" x14ac:dyDescent="0.3">
      <c r="A66" s="265"/>
      <c r="B66" s="267"/>
      <c r="C66" s="269"/>
      <c r="D66" s="271"/>
      <c r="E66" s="273"/>
      <c r="F66" s="73" t="s">
        <v>209</v>
      </c>
      <c r="G66" s="74">
        <v>0.15</v>
      </c>
      <c r="H66" s="73" t="s">
        <v>337</v>
      </c>
      <c r="I66" s="16"/>
      <c r="J66" s="168"/>
      <c r="K66" s="168"/>
      <c r="L66" s="168"/>
      <c r="M66" s="168"/>
      <c r="N66" s="168"/>
      <c r="O66" s="168"/>
      <c r="P66" s="190"/>
    </row>
    <row r="67" spans="1:16" ht="23.4" customHeight="1" thickTop="1" x14ac:dyDescent="0.25">
      <c r="A67" s="284" t="s">
        <v>352</v>
      </c>
      <c r="B67" s="285" t="s">
        <v>353</v>
      </c>
      <c r="C67" s="286">
        <v>5</v>
      </c>
      <c r="D67" s="287">
        <v>9.1</v>
      </c>
      <c r="E67" s="288">
        <v>0.4</v>
      </c>
      <c r="F67" s="68" t="s">
        <v>158</v>
      </c>
      <c r="G67" s="69">
        <v>0.67</v>
      </c>
      <c r="H67" s="68" t="s">
        <v>217</v>
      </c>
      <c r="I67" s="20"/>
      <c r="J67" s="166">
        <f>IF(G67=1, I67, SUMPRODUCT(I67:I68, G67:G68))</f>
        <v>0</v>
      </c>
      <c r="K67" s="166">
        <f>SUMIF(I67:I68, "&lt;&gt;", G67:G68) / SUMIF(G67:G68, "&lt;&gt;")</f>
        <v>0</v>
      </c>
      <c r="L67" s="166" t="str">
        <f>IFERROR(J67/K67, "No grades yet")</f>
        <v>No grades yet</v>
      </c>
      <c r="M67" s="166">
        <f>IFERROR(IF(K67 = 1, "Completed module", IF(((70 - J67) / (1 - K67)) &gt; 100, "Unattainable", IF(((70 - J67) / (1 - K67)) &lt; 0, "Already attained", ((70 - J67) / (1 - K67))))), "-")</f>
        <v>70</v>
      </c>
      <c r="N67" s="166">
        <f>IFERROR(IF(K67 = 1, "Completed module", IF(((60 - J67) / (1 - K67)) &gt; 100, "Unattainable", IF(((60 - J67) / (1 - K67)) &lt; 0, "Already attained", ((60 - J67) / (1 - K67))))), "-")</f>
        <v>60</v>
      </c>
      <c r="O67" s="166">
        <f>IFERROR(IF(K67 = 1, "Completed module", IF(((50 - J67) / (1 - K67)) &gt; 100, "Unattainable", IF(((50 - J67) / (1 - K67)) &lt; 0, "Already attained", ((50 - J67) / (1 - K67))))), "-")</f>
        <v>50</v>
      </c>
      <c r="P67" s="189">
        <f>IFERROR(IF(K67 = 1, "Completed module", IF(((40 - J67) / (1 - K67)) &gt; 100, "Unattainable", IF(((40 - J67) / (1 - K67)) &lt; 0, "Already attained", ((40 - J67) / (1 - K67))))), "-")</f>
        <v>40</v>
      </c>
    </row>
    <row r="68" spans="1:16" ht="13.8" thickBot="1" x14ac:dyDescent="0.3">
      <c r="A68" s="265"/>
      <c r="B68" s="267"/>
      <c r="C68" s="269"/>
      <c r="D68" s="271"/>
      <c r="E68" s="273"/>
      <c r="F68" s="73" t="s">
        <v>207</v>
      </c>
      <c r="G68" s="74">
        <v>0.33</v>
      </c>
      <c r="H68" s="73" t="s">
        <v>354</v>
      </c>
      <c r="I68" s="16"/>
      <c r="J68" s="168"/>
      <c r="K68" s="168"/>
      <c r="L68" s="168"/>
      <c r="M68" s="168"/>
      <c r="N68" s="168"/>
      <c r="O68" s="168"/>
      <c r="P68" s="190"/>
    </row>
    <row r="69" spans="1:16" ht="23.4" customHeight="1" thickTop="1" x14ac:dyDescent="0.25">
      <c r="A69" s="284" t="s">
        <v>355</v>
      </c>
      <c r="B69" s="285" t="s">
        <v>356</v>
      </c>
      <c r="C69" s="286">
        <v>5</v>
      </c>
      <c r="D69" s="287">
        <v>9.1</v>
      </c>
      <c r="E69" s="288">
        <v>0.4</v>
      </c>
      <c r="F69" s="68" t="s">
        <v>158</v>
      </c>
      <c r="G69" s="69">
        <v>0.6</v>
      </c>
      <c r="H69" s="68" t="s">
        <v>217</v>
      </c>
      <c r="I69" s="20"/>
      <c r="J69" s="166">
        <f>IF(G69=1, I69, SUMPRODUCT(I69:I70, G69:G70))</f>
        <v>0</v>
      </c>
      <c r="K69" s="166">
        <f>SUMIF(I69:I70, "&lt;&gt;", G69:G70) / SUMIF(G69:G70, "&lt;&gt;")</f>
        <v>0</v>
      </c>
      <c r="L69" s="166" t="str">
        <f>IFERROR(J69/K69, "No grades yet")</f>
        <v>No grades yet</v>
      </c>
      <c r="M69" s="166">
        <f>IFERROR(IF(K69 = 1, "Completed module", IF(((70 - J69) / (1 - K69)) &gt; 100, "Unattainable", IF(((70 - J69) / (1 - K69)) &lt; 0, "Already attained", ((70 - J69) / (1 - K69))))), "-")</f>
        <v>70</v>
      </c>
      <c r="N69" s="166">
        <f>IFERROR(IF(K69 = 1, "Completed module", IF(((60 - J69) / (1 - K69)) &gt; 100, "Unattainable", IF(((60 - J69) / (1 - K69)) &lt; 0, "Already attained", ((60 - J69) / (1 - K69))))), "-")</f>
        <v>60</v>
      </c>
      <c r="O69" s="166">
        <f>IFERROR(IF(K69 = 1, "Completed module", IF(((50 - J69) / (1 - K69)) &gt; 100, "Unattainable", IF(((50 - J69) / (1 - K69)) &lt; 0, "Already attained", ((50 - J69) / (1 - K69))))), "-")</f>
        <v>50</v>
      </c>
      <c r="P69" s="189">
        <f>IFERROR(IF(K69 = 1, "Completed module", IF(((40 - J69) / (1 - K69)) &gt; 100, "Unattainable", IF(((40 - J69) / (1 - K69)) &lt; 0, "Already attained", ((40 - J69) / (1 - K69))))), "-")</f>
        <v>40</v>
      </c>
    </row>
    <row r="70" spans="1:16" ht="13.8" thickBot="1" x14ac:dyDescent="0.3">
      <c r="A70" s="265"/>
      <c r="B70" s="267"/>
      <c r="C70" s="269"/>
      <c r="D70" s="271"/>
      <c r="E70" s="273"/>
      <c r="F70" s="73" t="s">
        <v>357</v>
      </c>
      <c r="G70" s="74">
        <v>0.4</v>
      </c>
      <c r="H70" s="73" t="s">
        <v>358</v>
      </c>
      <c r="I70" s="16"/>
      <c r="J70" s="168"/>
      <c r="K70" s="168"/>
      <c r="L70" s="168"/>
      <c r="M70" s="168"/>
      <c r="N70" s="168"/>
      <c r="O70" s="168"/>
      <c r="P70" s="190"/>
    </row>
    <row r="71" spans="1:16" ht="13.8" thickTop="1" x14ac:dyDescent="0.25">
      <c r="A71" s="284" t="s">
        <v>338</v>
      </c>
      <c r="B71" s="285" t="s">
        <v>339</v>
      </c>
      <c r="C71" s="286">
        <v>5</v>
      </c>
      <c r="D71" s="287">
        <v>9.1</v>
      </c>
      <c r="E71" s="288">
        <v>0.4</v>
      </c>
      <c r="F71" s="68" t="s">
        <v>158</v>
      </c>
      <c r="G71" s="69">
        <v>0.7</v>
      </c>
      <c r="H71" s="68" t="s">
        <v>217</v>
      </c>
      <c r="I71" s="20"/>
      <c r="J71" s="166">
        <f>IF(G71=1, I71, SUMPRODUCT(I71:I73, G71:G73))</f>
        <v>0</v>
      </c>
      <c r="K71" s="166">
        <f>SUMIF(I71:I73, "&lt;&gt;", G71:G73) / SUMIF(G71:G73, "&lt;&gt;")</f>
        <v>0</v>
      </c>
      <c r="L71" s="166" t="str">
        <f>IFERROR(J71/K71, "No grades yet")</f>
        <v>No grades yet</v>
      </c>
      <c r="M71" s="166">
        <f>IFERROR(IF(K71 = 1, "Completed module", IF(((70 - J71) / (1 - K71)) &gt; 100, "Unattainable", IF(((70 - J71) / (1 - K71)) &lt; 0, "Already attained", ((70 - J71) / (1 - K71))))), "-")</f>
        <v>70</v>
      </c>
      <c r="N71" s="166">
        <f>IFERROR(IF(K71 = 1, "Completed module", IF(((60 - J71) / (1 - K71)) &gt; 100, "Unattainable", IF(((60 - J71) / (1 - K71)) &lt; 0, "Already attained", ((60 - J71) / (1 - K71))))), "-")</f>
        <v>60</v>
      </c>
      <c r="O71" s="166">
        <f>IFERROR(IF(K71 = 1, "Completed module", IF(((50 - J71) / (1 - K71)) &gt; 100, "Unattainable", IF(((50 - J71) / (1 - K71)) &lt; 0, "Already attained", ((50 - J71) / (1 - K71))))), "-")</f>
        <v>50</v>
      </c>
      <c r="P71" s="189">
        <f>IFERROR(IF(K71 = 1, "Completed module", IF(((40 - J71) / (1 - K71)) &gt; 100, "Unattainable", IF(((40 - J71) / (1 - K71)) &lt; 0, "Already attained", ((40 - J71) / (1 - K71))))), "-")</f>
        <v>40</v>
      </c>
    </row>
    <row r="72" spans="1:16" x14ac:dyDescent="0.25">
      <c r="A72" s="279"/>
      <c r="B72" s="280"/>
      <c r="C72" s="281"/>
      <c r="D72" s="282"/>
      <c r="E72" s="283"/>
      <c r="F72" s="66" t="s">
        <v>199</v>
      </c>
      <c r="G72" s="67">
        <v>0.15</v>
      </c>
      <c r="H72" s="66" t="s">
        <v>340</v>
      </c>
      <c r="I72" s="14"/>
      <c r="J72" s="167"/>
      <c r="K72" s="167"/>
      <c r="L72" s="167"/>
      <c r="M72" s="167"/>
      <c r="N72" s="167"/>
      <c r="O72" s="167"/>
      <c r="P72" s="191"/>
    </row>
    <row r="73" spans="1:16" ht="13.8" thickBot="1" x14ac:dyDescent="0.3">
      <c r="A73" s="265"/>
      <c r="B73" s="267"/>
      <c r="C73" s="269"/>
      <c r="D73" s="271"/>
      <c r="E73" s="273"/>
      <c r="F73" s="73" t="s">
        <v>199</v>
      </c>
      <c r="G73" s="74">
        <v>0.15</v>
      </c>
      <c r="H73" s="73" t="s">
        <v>341</v>
      </c>
      <c r="I73" s="16"/>
      <c r="J73" s="168"/>
      <c r="K73" s="168"/>
      <c r="L73" s="168"/>
      <c r="M73" s="168"/>
      <c r="N73" s="168"/>
      <c r="O73" s="168"/>
      <c r="P73" s="190"/>
    </row>
    <row r="74" spans="1:16" ht="23.4" customHeight="1" thickTop="1" x14ac:dyDescent="0.25">
      <c r="A74" s="284" t="s">
        <v>359</v>
      </c>
      <c r="B74" s="285" t="s">
        <v>360</v>
      </c>
      <c r="C74" s="286">
        <v>5</v>
      </c>
      <c r="D74" s="287">
        <v>9.1</v>
      </c>
      <c r="E74" s="288">
        <v>0.5</v>
      </c>
      <c r="F74" s="68" t="s">
        <v>207</v>
      </c>
      <c r="G74" s="69">
        <v>0.3</v>
      </c>
      <c r="H74" s="68" t="s">
        <v>361</v>
      </c>
      <c r="I74" s="20"/>
      <c r="J74" s="166">
        <f>IF(G74=1, I74, SUMPRODUCT(I74:I77, G74:G77))</f>
        <v>0</v>
      </c>
      <c r="K74" s="166">
        <f>SUMIF(I74:I77, "&lt;&gt;", G74:G77) / SUMIF(G74:G77, "&lt;&gt;")</f>
        <v>0</v>
      </c>
      <c r="L74" s="166" t="str">
        <f>IFERROR(J74/K74, "No grades yet")</f>
        <v>No grades yet</v>
      </c>
      <c r="M74" s="166">
        <f>IFERROR(IF(K74 = 1, "Completed module", IF(((70 - J74) / (1 - K74)) &gt; 100, "Unattainable", IF(((70 - J74) / (1 - K74)) &lt; 0, "Already attained", ((70 - J74) / (1 - K74))))), "-")</f>
        <v>70</v>
      </c>
      <c r="N74" s="166">
        <f>IFERROR(IF(K74 = 1, "Completed module", IF(((60 - J74) / (1 - K74)) &gt; 100, "Unattainable", IF(((60 - J74) / (1 - K74)) &lt; 0, "Already attained", ((60 - J74) / (1 - K74))))), "-")</f>
        <v>60</v>
      </c>
      <c r="O74" s="166">
        <f>IFERROR(IF(K74 = 1, "Completed module", IF(((50 - J74) / (1 - K74)) &gt; 100, "Unattainable", IF(((50 - J74) / (1 - K74)) &lt; 0, "Already attained", ((50 - J74) / (1 - K74))))), "-")</f>
        <v>50</v>
      </c>
      <c r="P74" s="189">
        <f>IFERROR(IF(K74 = 1, "Completed module", IF(((40 - J74) / (1 - K74)) &gt; 100, "Unattainable", IF(((40 - J74) / (1 - K74)) &lt; 0, "Already attained", ((40 - J74) / (1 - K74))))), "-")</f>
        <v>40</v>
      </c>
    </row>
    <row r="75" spans="1:16" x14ac:dyDescent="0.25">
      <c r="A75" s="279"/>
      <c r="B75" s="280"/>
      <c r="C75" s="281"/>
      <c r="D75" s="282"/>
      <c r="E75" s="283"/>
      <c r="F75" s="66" t="s">
        <v>259</v>
      </c>
      <c r="G75" s="67">
        <v>0.2</v>
      </c>
      <c r="H75" s="66" t="s">
        <v>362</v>
      </c>
      <c r="I75" s="14"/>
      <c r="J75" s="167"/>
      <c r="K75" s="167"/>
      <c r="L75" s="167"/>
      <c r="M75" s="167"/>
      <c r="N75" s="167"/>
      <c r="O75" s="167"/>
      <c r="P75" s="191"/>
    </row>
    <row r="76" spans="1:16" x14ac:dyDescent="0.25">
      <c r="A76" s="279"/>
      <c r="B76" s="280"/>
      <c r="C76" s="281"/>
      <c r="D76" s="282"/>
      <c r="E76" s="283"/>
      <c r="F76" s="66" t="s">
        <v>209</v>
      </c>
      <c r="G76" s="67">
        <v>0.2</v>
      </c>
      <c r="H76" s="66" t="s">
        <v>363</v>
      </c>
      <c r="I76" s="14"/>
      <c r="J76" s="167"/>
      <c r="K76" s="167"/>
      <c r="L76" s="167"/>
      <c r="M76" s="167"/>
      <c r="N76" s="167"/>
      <c r="O76" s="167"/>
      <c r="P76" s="191"/>
    </row>
    <row r="77" spans="1:16" ht="13.8" thickBot="1" x14ac:dyDescent="0.3">
      <c r="A77" s="265"/>
      <c r="B77" s="267"/>
      <c r="C77" s="269"/>
      <c r="D77" s="271"/>
      <c r="E77" s="273"/>
      <c r="F77" s="73" t="s">
        <v>207</v>
      </c>
      <c r="G77" s="74">
        <v>0.3</v>
      </c>
      <c r="H77" s="73" t="s">
        <v>364</v>
      </c>
      <c r="I77" s="16"/>
      <c r="J77" s="168"/>
      <c r="K77" s="168"/>
      <c r="L77" s="168"/>
      <c r="M77" s="168"/>
      <c r="N77" s="168"/>
      <c r="O77" s="168"/>
      <c r="P77" s="190"/>
    </row>
    <row r="78" spans="1:16" ht="13.8" thickTop="1" x14ac:dyDescent="0.25">
      <c r="A78" s="284" t="s">
        <v>365</v>
      </c>
      <c r="B78" s="285" t="s">
        <v>366</v>
      </c>
      <c r="C78" s="286">
        <v>5</v>
      </c>
      <c r="D78" s="287">
        <v>9.1</v>
      </c>
      <c r="E78" s="288">
        <v>0.5</v>
      </c>
      <c r="F78" s="68" t="s">
        <v>209</v>
      </c>
      <c r="G78" s="69">
        <v>0.2</v>
      </c>
      <c r="H78" s="68" t="s">
        <v>367</v>
      </c>
      <c r="I78" s="20"/>
      <c r="J78" s="166">
        <f>IF(G78=1, I78, SUMPRODUCT(I78:I79, G78:G79))</f>
        <v>0</v>
      </c>
      <c r="K78" s="166">
        <f>SUMIF(I78:I79, "&lt;&gt;", G78:G79) / SUMIF(G78:G79, "&lt;&gt;")</f>
        <v>0</v>
      </c>
      <c r="L78" s="166" t="str">
        <f>IFERROR(J78/K78, "No grades yet")</f>
        <v>No grades yet</v>
      </c>
      <c r="M78" s="166">
        <f>IFERROR(IF(K78 = 1, "Completed module", IF(((70 - J78) / (1 - K78)) &gt; 100, "Unattainable", IF(((70 - J78) / (1 - K78)) &lt; 0, "Already attained", ((70 - J78) / (1 - K78))))), "-")</f>
        <v>70</v>
      </c>
      <c r="N78" s="166">
        <f>IFERROR(IF(K78 = 1, "Completed module", IF(((60 - J78) / (1 - K78)) &gt; 100, "Unattainable", IF(((60 - J78) / (1 - K78)) &lt; 0, "Already attained", ((60 - J78) / (1 - K78))))), "-")</f>
        <v>60</v>
      </c>
      <c r="O78" s="166">
        <f>IFERROR(IF(K78 = 1, "Completed module", IF(((50 - J78) / (1 - K78)) &gt; 100, "Unattainable", IF(((50 - J78) / (1 - K78)) &lt; 0, "Already attained", ((50 - J78) / (1 - K78))))), "-")</f>
        <v>50</v>
      </c>
      <c r="P78" s="189">
        <f>IFERROR(IF(K78 = 1, "Completed module", IF(((40 - J78) / (1 - K78)) &gt; 100, "Unattainable", IF(((40 - J78) / (1 - K78)) &lt; 0, "Already attained", ((40 - J78) / (1 - K78))))), "-")</f>
        <v>40</v>
      </c>
    </row>
    <row r="79" spans="1:16" ht="13.8" thickBot="1" x14ac:dyDescent="0.3">
      <c r="A79" s="265"/>
      <c r="B79" s="267"/>
      <c r="C79" s="269"/>
      <c r="D79" s="271"/>
      <c r="E79" s="273"/>
      <c r="F79" s="73" t="s">
        <v>357</v>
      </c>
      <c r="G79" s="74">
        <v>0.8</v>
      </c>
      <c r="H79" s="73" t="s">
        <v>368</v>
      </c>
      <c r="I79" s="16"/>
      <c r="J79" s="168"/>
      <c r="K79" s="168"/>
      <c r="L79" s="168"/>
      <c r="M79" s="168"/>
      <c r="N79" s="168"/>
      <c r="O79" s="168"/>
      <c r="P79" s="190"/>
    </row>
    <row r="80" spans="1:16" ht="13.8" thickTop="1" x14ac:dyDescent="0.25">
      <c r="A80" s="284" t="s">
        <v>342</v>
      </c>
      <c r="B80" s="285" t="s">
        <v>343</v>
      </c>
      <c r="C80" s="286">
        <v>5</v>
      </c>
      <c r="D80" s="287">
        <v>9.1</v>
      </c>
      <c r="E80" s="288">
        <v>0.4</v>
      </c>
      <c r="F80" s="68" t="s">
        <v>158</v>
      </c>
      <c r="G80" s="69">
        <v>0.75</v>
      </c>
      <c r="H80" s="68" t="s">
        <v>217</v>
      </c>
      <c r="I80" s="20"/>
      <c r="J80" s="166">
        <f>IF(G80=1, I80, SUMPRODUCT(I80:I81, G80:G81))</f>
        <v>0</v>
      </c>
      <c r="K80" s="166">
        <f>SUMIF(I80:I81, "&lt;&gt;", G80:G81) / SUMIF(G80:G81, "&lt;&gt;")</f>
        <v>0</v>
      </c>
      <c r="L80" s="166" t="str">
        <f>IFERROR(J80/K80, "No grades yet")</f>
        <v>No grades yet</v>
      </c>
      <c r="M80" s="166">
        <f>IFERROR(IF(K80 = 1, "Completed module", IF(((70 - J80) / (1 - K80)) &gt; 100, "Unattainable", IF(((70 - J80) / (1 - K80)) &lt; 0, "Already attained", ((70 - J80) / (1 - K80))))), "-")</f>
        <v>70</v>
      </c>
      <c r="N80" s="166">
        <f>IFERROR(IF(K80 = 1, "Completed module", IF(((60 - J80) / (1 - K80)) &gt; 100, "Unattainable", IF(((60 - J80) / (1 - K80)) &lt; 0, "Already attained", ((60 - J80) / (1 - K80))))), "-")</f>
        <v>60</v>
      </c>
      <c r="O80" s="166">
        <f>IFERROR(IF(K80 = 1, "Completed module", IF(((50 - J80) / (1 - K80)) &gt; 100, "Unattainable", IF(((50 - J80) / (1 - K80)) &lt; 0, "Already attained", ((50 - J80) / (1 - K80))))), "-")</f>
        <v>50</v>
      </c>
      <c r="P80" s="189">
        <f>IFERROR(IF(K80 = 1, "Completed module", IF(((40 - J80) / (1 - K80)) &gt; 100, "Unattainable", IF(((40 - J80) / (1 - K80)) &lt; 0, "Already attained", ((40 - J80) / (1 - K80))))), "-")</f>
        <v>40</v>
      </c>
    </row>
    <row r="81" spans="1:16" ht="13.8" thickBot="1" x14ac:dyDescent="0.3">
      <c r="A81" s="265"/>
      <c r="B81" s="267"/>
      <c r="C81" s="269"/>
      <c r="D81" s="271"/>
      <c r="E81" s="273"/>
      <c r="F81" s="73" t="s">
        <v>241</v>
      </c>
      <c r="G81" s="74">
        <v>0.25</v>
      </c>
      <c r="H81" s="73" t="s">
        <v>344</v>
      </c>
      <c r="I81" s="16"/>
      <c r="J81" s="168"/>
      <c r="K81" s="168"/>
      <c r="L81" s="168"/>
      <c r="M81" s="168"/>
      <c r="N81" s="168"/>
      <c r="O81" s="168"/>
      <c r="P81" s="190"/>
    </row>
    <row r="82" spans="1:16" ht="23.4" customHeight="1" thickTop="1" x14ac:dyDescent="0.25">
      <c r="A82" s="284" t="s">
        <v>352</v>
      </c>
      <c r="B82" s="285" t="s">
        <v>353</v>
      </c>
      <c r="C82" s="286">
        <v>5</v>
      </c>
      <c r="D82" s="287">
        <v>9.1</v>
      </c>
      <c r="E82" s="288">
        <v>0.4</v>
      </c>
      <c r="F82" s="68" t="s">
        <v>158</v>
      </c>
      <c r="G82" s="69">
        <v>0.67</v>
      </c>
      <c r="H82" s="68" t="s">
        <v>217</v>
      </c>
      <c r="I82" s="20"/>
      <c r="J82" s="166">
        <f>IF(G82=1, I82, SUMPRODUCT(I82:I83, G82:G83))</f>
        <v>0</v>
      </c>
      <c r="K82" s="166">
        <f>SUMIF(I82:I83, "&lt;&gt;", G82:G83) / SUMIF(G82:G83, "&lt;&gt;")</f>
        <v>0</v>
      </c>
      <c r="L82" s="166" t="str">
        <f>IFERROR(J82/K82, "No grades yet")</f>
        <v>No grades yet</v>
      </c>
      <c r="M82" s="166">
        <f>IFERROR(IF(K82 = 1, "Completed module", IF(((70 - J82) / (1 - K82)) &gt; 100, "Unattainable", IF(((70 - J82) / (1 - K82)) &lt; 0, "Already attained", ((70 - J82) / (1 - K82))))), "-")</f>
        <v>70</v>
      </c>
      <c r="N82" s="166">
        <f>IFERROR(IF(K82 = 1, "Completed module", IF(((60 - J82) / (1 - K82)) &gt; 100, "Unattainable", IF(((60 - J82) / (1 - K82)) &lt; 0, "Already attained", ((60 - J82) / (1 - K82))))), "-")</f>
        <v>60</v>
      </c>
      <c r="O82" s="166">
        <f>IFERROR(IF(K82 = 1, "Completed module", IF(((50 - J82) / (1 - K82)) &gt; 100, "Unattainable", IF(((50 - J82) / (1 - K82)) &lt; 0, "Already attained", ((50 - J82) / (1 - K82))))), "-")</f>
        <v>50</v>
      </c>
      <c r="P82" s="189">
        <f>IFERROR(IF(K82 = 1, "Completed module", IF(((40 - J82) / (1 - K82)) &gt; 100, "Unattainable", IF(((40 - J82) / (1 - K82)) &lt; 0, "Already attained", ((40 - J82) / (1 - K82))))), "-")</f>
        <v>40</v>
      </c>
    </row>
    <row r="83" spans="1:16" ht="13.8" thickBot="1" x14ac:dyDescent="0.3">
      <c r="A83" s="265"/>
      <c r="B83" s="267"/>
      <c r="C83" s="269"/>
      <c r="D83" s="271"/>
      <c r="E83" s="273"/>
      <c r="F83" s="73" t="s">
        <v>207</v>
      </c>
      <c r="G83" s="74">
        <v>0.33</v>
      </c>
      <c r="H83" s="73" t="s">
        <v>354</v>
      </c>
      <c r="I83" s="16"/>
      <c r="J83" s="168"/>
      <c r="K83" s="168"/>
      <c r="L83" s="168"/>
      <c r="M83" s="168"/>
      <c r="N83" s="168"/>
      <c r="O83" s="168"/>
      <c r="P83" s="190"/>
    </row>
    <row r="84" spans="1:16" ht="23.4" customHeight="1" thickTop="1" x14ac:dyDescent="0.25">
      <c r="A84" s="284" t="s">
        <v>355</v>
      </c>
      <c r="B84" s="285" t="s">
        <v>356</v>
      </c>
      <c r="C84" s="286">
        <v>5</v>
      </c>
      <c r="D84" s="287">
        <v>9.1</v>
      </c>
      <c r="E84" s="288">
        <v>0.4</v>
      </c>
      <c r="F84" s="68" t="s">
        <v>158</v>
      </c>
      <c r="G84" s="69">
        <v>0.6</v>
      </c>
      <c r="H84" s="68" t="s">
        <v>217</v>
      </c>
      <c r="I84" s="20"/>
      <c r="J84" s="166">
        <f>IF(G84=1, I84, SUMPRODUCT(I84:I85, G84:G85))</f>
        <v>0</v>
      </c>
      <c r="K84" s="166">
        <f>SUMIF(I84:I85, "&lt;&gt;", G84:G85) / SUMIF(G84:G85, "&lt;&gt;")</f>
        <v>0</v>
      </c>
      <c r="L84" s="166" t="str">
        <f>IFERROR(J84/K84, "No grades yet")</f>
        <v>No grades yet</v>
      </c>
      <c r="M84" s="166">
        <f>IFERROR(IF(K84 = 1, "Completed module", IF(((70 - J84) / (1 - K84)) &gt; 100, "Unattainable", IF(((70 - J84) / (1 - K84)) &lt; 0, "Already attained", ((70 - J84) / (1 - K84))))), "-")</f>
        <v>70</v>
      </c>
      <c r="N84" s="166">
        <f>IFERROR(IF(K84 = 1, "Completed module", IF(((60 - J84) / (1 - K84)) &gt; 100, "Unattainable", IF(((60 - J84) / (1 - K84)) &lt; 0, "Already attained", ((60 - J84) / (1 - K84))))), "-")</f>
        <v>60</v>
      </c>
      <c r="O84" s="166">
        <f>IFERROR(IF(K84 = 1, "Completed module", IF(((50 - J84) / (1 - K84)) &gt; 100, "Unattainable", IF(((50 - J84) / (1 - K84)) &lt; 0, "Already attained", ((50 - J84) / (1 - K84))))), "-")</f>
        <v>50</v>
      </c>
      <c r="P84" s="189">
        <f>IFERROR(IF(K84 = 1, "Completed module", IF(((40 - J84) / (1 - K84)) &gt; 100, "Unattainable", IF(((40 - J84) / (1 - K84)) &lt; 0, "Already attained", ((40 - J84) / (1 - K84))))), "-")</f>
        <v>40</v>
      </c>
    </row>
    <row r="85" spans="1:16" ht="13.8" thickBot="1" x14ac:dyDescent="0.3">
      <c r="A85" s="265"/>
      <c r="B85" s="267"/>
      <c r="C85" s="269"/>
      <c r="D85" s="271"/>
      <c r="E85" s="273"/>
      <c r="F85" s="73" t="s">
        <v>357</v>
      </c>
      <c r="G85" s="74">
        <v>0.4</v>
      </c>
      <c r="H85" s="73" t="s">
        <v>358</v>
      </c>
      <c r="I85" s="16"/>
      <c r="J85" s="168"/>
      <c r="K85" s="168"/>
      <c r="L85" s="168"/>
      <c r="M85" s="168"/>
      <c r="N85" s="168"/>
      <c r="O85" s="168"/>
      <c r="P85" s="190"/>
    </row>
    <row r="86" spans="1:16" ht="13.8" thickTop="1" x14ac:dyDescent="0.25">
      <c r="A86" s="284" t="s">
        <v>338</v>
      </c>
      <c r="B86" s="285" t="s">
        <v>339</v>
      </c>
      <c r="C86" s="286">
        <v>5</v>
      </c>
      <c r="D86" s="287">
        <v>9.1</v>
      </c>
      <c r="E86" s="288">
        <v>0.4</v>
      </c>
      <c r="F86" s="68" t="s">
        <v>158</v>
      </c>
      <c r="G86" s="69">
        <v>0.7</v>
      </c>
      <c r="H86" s="68" t="s">
        <v>217</v>
      </c>
      <c r="I86" s="20"/>
      <c r="J86" s="166">
        <f>IF(G86=1, I86, SUMPRODUCT(I86:I88, G86:G88))</f>
        <v>0</v>
      </c>
      <c r="K86" s="166">
        <f>SUMIF(I86:I88, "&lt;&gt;", G86:G88) / SUMIF(G86:G88, "&lt;&gt;")</f>
        <v>0</v>
      </c>
      <c r="L86" s="166" t="str">
        <f>IFERROR(J86/K86, "No grades yet")</f>
        <v>No grades yet</v>
      </c>
      <c r="M86" s="166">
        <f>IFERROR(IF(K86 = 1, "Completed module", IF(((70 - J86) / (1 - K86)) &gt; 100, "Unattainable", IF(((70 - J86) / (1 - K86)) &lt; 0, "Already attained", ((70 - J86) / (1 - K86))))), "-")</f>
        <v>70</v>
      </c>
      <c r="N86" s="166">
        <f>IFERROR(IF(K86 = 1, "Completed module", IF(((60 - J86) / (1 - K86)) &gt; 100, "Unattainable", IF(((60 - J86) / (1 - K86)) &lt; 0, "Already attained", ((60 - J86) / (1 - K86))))), "-")</f>
        <v>60</v>
      </c>
      <c r="O86" s="166">
        <f>IFERROR(IF(K86 = 1, "Completed module", IF(((50 - J86) / (1 - K86)) &gt; 100, "Unattainable", IF(((50 - J86) / (1 - K86)) &lt; 0, "Already attained", ((50 - J86) / (1 - K86))))), "-")</f>
        <v>50</v>
      </c>
      <c r="P86" s="189">
        <f>IFERROR(IF(K86 = 1, "Completed module", IF(((40 - J86) / (1 - K86)) &gt; 100, "Unattainable", IF(((40 - J86) / (1 - K86)) &lt; 0, "Already attained", ((40 - J86) / (1 - K86))))), "-")</f>
        <v>40</v>
      </c>
    </row>
    <row r="87" spans="1:16" x14ac:dyDescent="0.25">
      <c r="A87" s="279"/>
      <c r="B87" s="280"/>
      <c r="C87" s="281"/>
      <c r="D87" s="282"/>
      <c r="E87" s="283"/>
      <c r="F87" s="66" t="s">
        <v>199</v>
      </c>
      <c r="G87" s="67">
        <v>0.15</v>
      </c>
      <c r="H87" s="66" t="s">
        <v>340</v>
      </c>
      <c r="I87" s="14"/>
      <c r="J87" s="167"/>
      <c r="K87" s="167"/>
      <c r="L87" s="167"/>
      <c r="M87" s="167"/>
      <c r="N87" s="167"/>
      <c r="O87" s="167"/>
      <c r="P87" s="191"/>
    </row>
    <row r="88" spans="1:16" ht="13.8" thickBot="1" x14ac:dyDescent="0.3">
      <c r="A88" s="274"/>
      <c r="B88" s="275"/>
      <c r="C88" s="276"/>
      <c r="D88" s="277"/>
      <c r="E88" s="278"/>
      <c r="F88" s="118" t="s">
        <v>199</v>
      </c>
      <c r="G88" s="119">
        <v>0.15</v>
      </c>
      <c r="H88" s="118" t="s">
        <v>341</v>
      </c>
      <c r="I88" s="26"/>
      <c r="J88" s="181"/>
      <c r="K88" s="181"/>
      <c r="L88" s="181"/>
      <c r="M88" s="181"/>
      <c r="N88" s="181"/>
      <c r="O88" s="181"/>
      <c r="P88" s="192"/>
    </row>
    <row r="89" spans="1:16" ht="22.8" customHeight="1" thickTop="1" x14ac:dyDescent="0.25">
      <c r="A89" s="264" t="s">
        <v>359</v>
      </c>
      <c r="B89" s="266" t="s">
        <v>360</v>
      </c>
      <c r="C89" s="268">
        <v>5</v>
      </c>
      <c r="D89" s="270">
        <v>9.1</v>
      </c>
      <c r="E89" s="272">
        <v>0.5</v>
      </c>
      <c r="F89" s="137" t="s">
        <v>207</v>
      </c>
      <c r="G89" s="138">
        <v>0.3</v>
      </c>
      <c r="H89" s="137" t="s">
        <v>361</v>
      </c>
      <c r="I89" s="112"/>
      <c r="J89" s="263">
        <f>IF(G89=1, I89, SUMPRODUCT(I89:I92, G89:G92))</f>
        <v>0</v>
      </c>
      <c r="K89" s="263">
        <f>SUMIF(I89:I92, "&lt;&gt;", G89:G92) / SUMIF(G89:G92, "&lt;&gt;")</f>
        <v>0</v>
      </c>
      <c r="L89" s="263" t="str">
        <f>IFERROR(J89/K89, "No grades yet")</f>
        <v>No grades yet</v>
      </c>
      <c r="M89" s="263">
        <f>IFERROR(IF(K89 = 1, "Completed module", IF(((70 - J89) / (1 - K89)) &gt; 100, "Unattainable", IF(((70 - J89) / (1 - K89)) &lt; 0, "Already attained", ((70 - J89) / (1 - K89))))), "-")</f>
        <v>70</v>
      </c>
      <c r="N89" s="263">
        <f>IFERROR(IF(K89 = 1, "Completed module", IF(((60 - J89) / (1 - K89)) &gt; 100, "Unattainable", IF(((60 - J89) / (1 - K89)) &lt; 0, "Already attained", ((60 - J89) / (1 - K89))))), "-")</f>
        <v>60</v>
      </c>
      <c r="O89" s="263">
        <f>IFERROR(IF(K89 = 1, "Completed module", IF(((50 - J89) / (1 - K89)) &gt; 100, "Unattainable", IF(((50 - J89) / (1 - K89)) &lt; 0, "Already attained", ((50 - J89) / (1 - K89))))), "-")</f>
        <v>50</v>
      </c>
      <c r="P89" s="262">
        <f>IFERROR(IF(K89 = 1, "Completed module", IF(((40 - J89) / (1 - K89)) &gt; 100, "Unattainable", IF(((40 - J89) / (1 - K89)) &lt; 0, "Already attained", ((40 - J89) / (1 - K89))))), "-")</f>
        <v>40</v>
      </c>
    </row>
    <row r="90" spans="1:16" x14ac:dyDescent="0.25">
      <c r="A90" s="279"/>
      <c r="B90" s="280"/>
      <c r="C90" s="281"/>
      <c r="D90" s="282"/>
      <c r="E90" s="283"/>
      <c r="F90" s="66" t="s">
        <v>259</v>
      </c>
      <c r="G90" s="67">
        <v>0.2</v>
      </c>
      <c r="H90" s="66" t="s">
        <v>362</v>
      </c>
      <c r="I90" s="14"/>
      <c r="J90" s="167"/>
      <c r="K90" s="167"/>
      <c r="L90" s="167"/>
      <c r="M90" s="167"/>
      <c r="N90" s="167"/>
      <c r="O90" s="167"/>
      <c r="P90" s="191"/>
    </row>
    <row r="91" spans="1:16" x14ac:dyDescent="0.25">
      <c r="A91" s="279"/>
      <c r="B91" s="280"/>
      <c r="C91" s="281"/>
      <c r="D91" s="282"/>
      <c r="E91" s="283"/>
      <c r="F91" s="66" t="s">
        <v>209</v>
      </c>
      <c r="G91" s="67">
        <v>0.2</v>
      </c>
      <c r="H91" s="66" t="s">
        <v>363</v>
      </c>
      <c r="I91" s="14"/>
      <c r="J91" s="167"/>
      <c r="K91" s="167"/>
      <c r="L91" s="167"/>
      <c r="M91" s="167"/>
      <c r="N91" s="167"/>
      <c r="O91" s="167"/>
      <c r="P91" s="191"/>
    </row>
    <row r="92" spans="1:16" ht="13.8" thickBot="1" x14ac:dyDescent="0.3">
      <c r="A92" s="274"/>
      <c r="B92" s="275"/>
      <c r="C92" s="276"/>
      <c r="D92" s="277"/>
      <c r="E92" s="278"/>
      <c r="F92" s="118" t="s">
        <v>207</v>
      </c>
      <c r="G92" s="119">
        <v>0.3</v>
      </c>
      <c r="H92" s="118" t="s">
        <v>364</v>
      </c>
      <c r="I92" s="26"/>
      <c r="J92" s="181"/>
      <c r="K92" s="181"/>
      <c r="L92" s="181"/>
      <c r="M92" s="181"/>
      <c r="N92" s="181"/>
      <c r="O92" s="181"/>
      <c r="P92" s="192"/>
    </row>
    <row r="93" spans="1:16" ht="13.8" thickTop="1" x14ac:dyDescent="0.25">
      <c r="A93" s="264" t="s">
        <v>365</v>
      </c>
      <c r="B93" s="266" t="s">
        <v>366</v>
      </c>
      <c r="C93" s="268">
        <v>5</v>
      </c>
      <c r="D93" s="270">
        <v>9.1</v>
      </c>
      <c r="E93" s="272">
        <v>0.5</v>
      </c>
      <c r="F93" s="137" t="s">
        <v>209</v>
      </c>
      <c r="G93" s="138">
        <v>0.2</v>
      </c>
      <c r="H93" s="137" t="s">
        <v>367</v>
      </c>
      <c r="I93" s="112"/>
      <c r="J93" s="263">
        <f>IF(G93=1, I93, SUMPRODUCT(I93:I94, G93:G94))</f>
        <v>0</v>
      </c>
      <c r="K93" s="263">
        <f>SUMIF(I93:I94, "&lt;&gt;", G93:G94) / SUMIF(G93:G94, "&lt;&gt;")</f>
        <v>0</v>
      </c>
      <c r="L93" s="263" t="str">
        <f>IFERROR(J93/K93, "No grades yet")</f>
        <v>No grades yet</v>
      </c>
      <c r="M93" s="263">
        <f>IFERROR(IF(K93 = 1, "Completed module", IF(((70 - J93) / (1 - K93)) &gt; 100, "Unattainable", IF(((70 - J93) / (1 - K93)) &lt; 0, "Already attained", ((70 - J93) / (1 - K93))))), "-")</f>
        <v>70</v>
      </c>
      <c r="N93" s="263">
        <f>IFERROR(IF(K93 = 1, "Completed module", IF(((60 - J93) / (1 - K93)) &gt; 100, "Unattainable", IF(((60 - J93) / (1 - K93)) &lt; 0, "Already attained", ((60 - J93) / (1 - K93))))), "-")</f>
        <v>60</v>
      </c>
      <c r="O93" s="263">
        <f>IFERROR(IF(K93 = 1, "Completed module", IF(((50 - J93) / (1 - K93)) &gt; 100, "Unattainable", IF(((50 - J93) / (1 - K93)) &lt; 0, "Already attained", ((50 - J93) / (1 - K93))))), "-")</f>
        <v>50</v>
      </c>
      <c r="P93" s="262">
        <f>IFERROR(IF(K93 = 1, "Completed module", IF(((40 - J93) / (1 - K93)) &gt; 100, "Unattainable", IF(((40 - J93) / (1 - K93)) &lt; 0, "Already attained", ((40 - J93) / (1 - K93))))), "-")</f>
        <v>40</v>
      </c>
    </row>
    <row r="94" spans="1:16" ht="13.8" thickBot="1" x14ac:dyDescent="0.3">
      <c r="A94" s="274"/>
      <c r="B94" s="275"/>
      <c r="C94" s="276"/>
      <c r="D94" s="277"/>
      <c r="E94" s="278"/>
      <c r="F94" s="118" t="s">
        <v>357</v>
      </c>
      <c r="G94" s="119">
        <v>0.8</v>
      </c>
      <c r="H94" s="118" t="s">
        <v>368</v>
      </c>
      <c r="I94" s="26"/>
      <c r="J94" s="181"/>
      <c r="K94" s="181"/>
      <c r="L94" s="181"/>
      <c r="M94" s="181"/>
      <c r="N94" s="181"/>
      <c r="O94" s="181"/>
      <c r="P94" s="192"/>
    </row>
    <row r="95" spans="1:16" ht="13.8" thickTop="1" x14ac:dyDescent="0.25">
      <c r="A95" s="264" t="s">
        <v>342</v>
      </c>
      <c r="B95" s="266" t="s">
        <v>343</v>
      </c>
      <c r="C95" s="268">
        <v>5</v>
      </c>
      <c r="D95" s="270">
        <v>9.1</v>
      </c>
      <c r="E95" s="272">
        <v>0.4</v>
      </c>
      <c r="F95" s="137" t="s">
        <v>158</v>
      </c>
      <c r="G95" s="138">
        <v>0.75</v>
      </c>
      <c r="H95" s="137" t="s">
        <v>217</v>
      </c>
      <c r="I95" s="112"/>
      <c r="J95" s="263">
        <f>IF(G95=1, I95, SUMPRODUCT(I95:I96, G95:G96))</f>
        <v>0</v>
      </c>
      <c r="K95" s="263">
        <f>SUMIF(I95:I96, "&lt;&gt;", G95:G96) / SUMIF(G95:G96, "&lt;&gt;")</f>
        <v>0</v>
      </c>
      <c r="L95" s="263" t="str">
        <f>IFERROR(J95/K95, "No grades yet")</f>
        <v>No grades yet</v>
      </c>
      <c r="M95" s="263">
        <f>IFERROR(IF(K95 = 1, "Completed module", IF(((70 - J95) / (1 - K95)) &gt; 100, "Unattainable", IF(((70 - J95) / (1 - K95)) &lt; 0, "Already attained", ((70 - J95) / (1 - K95))))), "-")</f>
        <v>70</v>
      </c>
      <c r="N95" s="263">
        <f>IFERROR(IF(K95 = 1, "Completed module", IF(((60 - J95) / (1 - K95)) &gt; 100, "Unattainable", IF(((60 - J95) / (1 - K95)) &lt; 0, "Already attained", ((60 - J95) / (1 - K95))))), "-")</f>
        <v>60</v>
      </c>
      <c r="O95" s="263">
        <f>IFERROR(IF(K95 = 1, "Completed module", IF(((50 - J95) / (1 - K95)) &gt; 100, "Unattainable", IF(((50 - J95) / (1 - K95)) &lt; 0, "Already attained", ((50 - J95) / (1 - K95))))), "-")</f>
        <v>50</v>
      </c>
      <c r="P95" s="262">
        <f>IFERROR(IF(K95 = 1, "Completed module", IF(((40 - J95) / (1 - K95)) &gt; 100, "Unattainable", IF(((40 - J95) / (1 - K95)) &lt; 0, "Already attained", ((40 - J95) / (1 - K95))))), "-")</f>
        <v>40</v>
      </c>
    </row>
    <row r="96" spans="1:16" ht="13.8" thickBot="1" x14ac:dyDescent="0.3">
      <c r="A96" s="265"/>
      <c r="B96" s="267"/>
      <c r="C96" s="269"/>
      <c r="D96" s="271"/>
      <c r="E96" s="273"/>
      <c r="F96" s="73" t="s">
        <v>241</v>
      </c>
      <c r="G96" s="74">
        <v>0.25</v>
      </c>
      <c r="H96" s="73" t="s">
        <v>344</v>
      </c>
      <c r="I96" s="16"/>
      <c r="J96" s="168"/>
      <c r="K96" s="168"/>
      <c r="L96" s="168"/>
      <c r="M96" s="168"/>
      <c r="N96" s="168"/>
      <c r="O96" s="168"/>
      <c r="P96" s="190"/>
    </row>
    <row r="97" spans="1:16" ht="14.4" thickTop="1" thickBot="1" x14ac:dyDescent="0.3">
      <c r="A97" s="87" t="s">
        <v>369</v>
      </c>
      <c r="B97" s="88" t="s">
        <v>370</v>
      </c>
      <c r="C97" s="89">
        <v>5</v>
      </c>
      <c r="D97" s="142">
        <v>9.1</v>
      </c>
      <c r="E97" s="90">
        <v>0.4</v>
      </c>
      <c r="F97" s="143" t="s">
        <v>371</v>
      </c>
      <c r="G97" s="144"/>
      <c r="H97" s="145"/>
      <c r="I97" s="93"/>
      <c r="J97" s="94" t="e">
        <f t="shared" ref="J97:J105" si="0">IF(G97=1, I97, SUMPRODUCT(I97:I97, G97:G97))</f>
        <v>#VALUE!</v>
      </c>
      <c r="K97" s="94" t="e">
        <f t="shared" ref="K97:K105" si="1">SUMIF(I97:I97, "&lt;&gt;", G97:G97) / SUMIF(G97:G97, "&lt;&gt;")</f>
        <v>#DIV/0!</v>
      </c>
      <c r="L97" s="94" t="str">
        <f t="shared" ref="L97:L105" si="2">IFERROR(J97/K97, "No grades yet")</f>
        <v>No grades yet</v>
      </c>
      <c r="M97" s="94" t="str">
        <f t="shared" ref="M97:M105" si="3">IFERROR(IF(K97 = 1, "Completed module", IF(((70 - J97) / (1 - K97)) &gt; 100, "Unattainable", IF(((70 - J97) / (1 - K97)) &lt; 0, "Already attained", ((70 - J97) / (1 - K97))))), "-")</f>
        <v>-</v>
      </c>
      <c r="N97" s="94" t="str">
        <f t="shared" ref="N97:N105" si="4">IFERROR(IF(K97 = 1, "Completed module", IF(((60 - J97) / (1 - K97)) &gt; 100, "Unattainable", IF(((60 - J97) / (1 - K97)) &lt; 0, "Already attained", ((60 - J97) / (1 - K97))))), "-")</f>
        <v>-</v>
      </c>
      <c r="O97" s="94" t="str">
        <f t="shared" ref="O97:O105" si="5">IFERROR(IF(K97 = 1, "Completed module", IF(((50 - J97) / (1 - K97)) &gt; 100, "Unattainable", IF(((50 - J97) / (1 - K97)) &lt; 0, "Already attained", ((50 - J97) / (1 - K97))))), "-")</f>
        <v>-</v>
      </c>
      <c r="P97" s="95" t="str">
        <f t="shared" ref="P97:P105" si="6">IFERROR(IF(K97 = 1, "Completed module", IF(((40 - J97) / (1 - K97)) &gt; 100, "Unattainable", IF(((40 - J97) / (1 - K97)) &lt; 0, "Already attained", ((40 - J97) / (1 - K97))))), "-")</f>
        <v>-</v>
      </c>
    </row>
    <row r="98" spans="1:16" ht="27.6" thickTop="1" thickBot="1" x14ac:dyDescent="0.3">
      <c r="A98" s="87" t="s">
        <v>372</v>
      </c>
      <c r="B98" s="88" t="s">
        <v>373</v>
      </c>
      <c r="C98" s="89">
        <v>5</v>
      </c>
      <c r="D98" s="142">
        <v>9.1</v>
      </c>
      <c r="E98" s="90">
        <v>0.4</v>
      </c>
      <c r="F98" s="143" t="s">
        <v>374</v>
      </c>
      <c r="G98" s="144"/>
      <c r="H98" s="145"/>
      <c r="I98" s="93"/>
      <c r="J98" s="94" t="e">
        <f t="shared" si="0"/>
        <v>#VALUE!</v>
      </c>
      <c r="K98" s="94" t="e">
        <f t="shared" si="1"/>
        <v>#DIV/0!</v>
      </c>
      <c r="L98" s="94" t="str">
        <f t="shared" si="2"/>
        <v>No grades yet</v>
      </c>
      <c r="M98" s="94" t="str">
        <f t="shared" si="3"/>
        <v>-</v>
      </c>
      <c r="N98" s="94" t="str">
        <f t="shared" si="4"/>
        <v>-</v>
      </c>
      <c r="O98" s="94" t="str">
        <f t="shared" si="5"/>
        <v>-</v>
      </c>
      <c r="P98" s="95" t="str">
        <f t="shared" si="6"/>
        <v>-</v>
      </c>
    </row>
    <row r="99" spans="1:16" ht="14.4" thickTop="1" thickBot="1" x14ac:dyDescent="0.3">
      <c r="A99" s="87" t="s">
        <v>375</v>
      </c>
      <c r="B99" s="88" t="s">
        <v>376</v>
      </c>
      <c r="C99" s="89">
        <v>5</v>
      </c>
      <c r="D99" s="142">
        <v>9.1</v>
      </c>
      <c r="E99" s="90">
        <v>0.4</v>
      </c>
      <c r="F99" s="143" t="s">
        <v>374</v>
      </c>
      <c r="G99" s="144"/>
      <c r="H99" s="145"/>
      <c r="I99" s="93"/>
      <c r="J99" s="94" t="e">
        <f t="shared" si="0"/>
        <v>#VALUE!</v>
      </c>
      <c r="K99" s="94" t="e">
        <f t="shared" si="1"/>
        <v>#DIV/0!</v>
      </c>
      <c r="L99" s="94" t="str">
        <f t="shared" si="2"/>
        <v>No grades yet</v>
      </c>
      <c r="M99" s="94" t="str">
        <f t="shared" si="3"/>
        <v>-</v>
      </c>
      <c r="N99" s="94" t="str">
        <f t="shared" si="4"/>
        <v>-</v>
      </c>
      <c r="O99" s="94" t="str">
        <f t="shared" si="5"/>
        <v>-</v>
      </c>
      <c r="P99" s="95" t="str">
        <f t="shared" si="6"/>
        <v>-</v>
      </c>
    </row>
    <row r="100" spans="1:16" ht="14.4" thickTop="1" thickBot="1" x14ac:dyDescent="0.3">
      <c r="A100" s="87" t="s">
        <v>377</v>
      </c>
      <c r="B100" s="88" t="s">
        <v>378</v>
      </c>
      <c r="C100" s="89">
        <v>5</v>
      </c>
      <c r="D100" s="142">
        <v>9.1</v>
      </c>
      <c r="E100" s="90">
        <v>0.4</v>
      </c>
      <c r="F100" s="143" t="s">
        <v>374</v>
      </c>
      <c r="G100" s="144"/>
      <c r="H100" s="145"/>
      <c r="I100" s="93"/>
      <c r="J100" s="94" t="e">
        <f t="shared" si="0"/>
        <v>#VALUE!</v>
      </c>
      <c r="K100" s="94" t="e">
        <f t="shared" si="1"/>
        <v>#DIV/0!</v>
      </c>
      <c r="L100" s="94" t="str">
        <f t="shared" si="2"/>
        <v>No grades yet</v>
      </c>
      <c r="M100" s="94" t="str">
        <f t="shared" si="3"/>
        <v>-</v>
      </c>
      <c r="N100" s="94" t="str">
        <f t="shared" si="4"/>
        <v>-</v>
      </c>
      <c r="O100" s="94" t="str">
        <f t="shared" si="5"/>
        <v>-</v>
      </c>
      <c r="P100" s="95" t="str">
        <f t="shared" si="6"/>
        <v>-</v>
      </c>
    </row>
    <row r="101" spans="1:16" ht="14.4" thickTop="1" thickBot="1" x14ac:dyDescent="0.3">
      <c r="A101" s="87" t="s">
        <v>379</v>
      </c>
      <c r="B101" s="88" t="s">
        <v>380</v>
      </c>
      <c r="C101" s="89">
        <v>5</v>
      </c>
      <c r="D101" s="142">
        <v>9.1</v>
      </c>
      <c r="E101" s="90">
        <v>0.4</v>
      </c>
      <c r="F101" s="143" t="s">
        <v>374</v>
      </c>
      <c r="G101" s="144"/>
      <c r="H101" s="145"/>
      <c r="I101" s="93"/>
      <c r="J101" s="94" t="e">
        <f t="shared" si="0"/>
        <v>#VALUE!</v>
      </c>
      <c r="K101" s="94" t="e">
        <f t="shared" si="1"/>
        <v>#DIV/0!</v>
      </c>
      <c r="L101" s="94" t="str">
        <f t="shared" si="2"/>
        <v>No grades yet</v>
      </c>
      <c r="M101" s="94" t="str">
        <f t="shared" si="3"/>
        <v>-</v>
      </c>
      <c r="N101" s="94" t="str">
        <f t="shared" si="4"/>
        <v>-</v>
      </c>
      <c r="O101" s="94" t="str">
        <f t="shared" si="5"/>
        <v>-</v>
      </c>
      <c r="P101" s="95" t="str">
        <f t="shared" si="6"/>
        <v>-</v>
      </c>
    </row>
    <row r="102" spans="1:16" ht="14.4" thickTop="1" thickBot="1" x14ac:dyDescent="0.3">
      <c r="A102" s="87" t="s">
        <v>381</v>
      </c>
      <c r="B102" s="88" t="s">
        <v>382</v>
      </c>
      <c r="C102" s="89">
        <v>5</v>
      </c>
      <c r="D102" s="142">
        <v>9.1</v>
      </c>
      <c r="E102" s="90">
        <v>0.4</v>
      </c>
      <c r="F102" s="143" t="s">
        <v>374</v>
      </c>
      <c r="G102" s="144"/>
      <c r="H102" s="145"/>
      <c r="I102" s="93"/>
      <c r="J102" s="94" t="e">
        <f t="shared" si="0"/>
        <v>#VALUE!</v>
      </c>
      <c r="K102" s="94" t="e">
        <f t="shared" si="1"/>
        <v>#DIV/0!</v>
      </c>
      <c r="L102" s="94" t="str">
        <f t="shared" si="2"/>
        <v>No grades yet</v>
      </c>
      <c r="M102" s="94" t="str">
        <f t="shared" si="3"/>
        <v>-</v>
      </c>
      <c r="N102" s="94" t="str">
        <f t="shared" si="4"/>
        <v>-</v>
      </c>
      <c r="O102" s="94" t="str">
        <f t="shared" si="5"/>
        <v>-</v>
      </c>
      <c r="P102" s="95" t="str">
        <f t="shared" si="6"/>
        <v>-</v>
      </c>
    </row>
    <row r="103" spans="1:16" ht="27.6" thickTop="1" thickBot="1" x14ac:dyDescent="0.3">
      <c r="A103" s="87" t="s">
        <v>383</v>
      </c>
      <c r="B103" s="88" t="s">
        <v>384</v>
      </c>
      <c r="C103" s="89">
        <v>5</v>
      </c>
      <c r="D103" s="142">
        <v>9.1</v>
      </c>
      <c r="E103" s="90">
        <v>0.4</v>
      </c>
      <c r="F103" s="143" t="s">
        <v>385</v>
      </c>
      <c r="G103" s="144"/>
      <c r="H103" s="145"/>
      <c r="I103" s="93"/>
      <c r="J103" s="94" t="e">
        <f t="shared" si="0"/>
        <v>#VALUE!</v>
      </c>
      <c r="K103" s="94" t="e">
        <f t="shared" si="1"/>
        <v>#DIV/0!</v>
      </c>
      <c r="L103" s="94" t="str">
        <f t="shared" si="2"/>
        <v>No grades yet</v>
      </c>
      <c r="M103" s="94" t="str">
        <f t="shared" si="3"/>
        <v>-</v>
      </c>
      <c r="N103" s="94" t="str">
        <f t="shared" si="4"/>
        <v>-</v>
      </c>
      <c r="O103" s="94" t="str">
        <f t="shared" si="5"/>
        <v>-</v>
      </c>
      <c r="P103" s="95" t="str">
        <f t="shared" si="6"/>
        <v>-</v>
      </c>
    </row>
    <row r="104" spans="1:16" ht="27.6" thickTop="1" thickBot="1" x14ac:dyDescent="0.3">
      <c r="A104" s="87" t="s">
        <v>386</v>
      </c>
      <c r="B104" s="88" t="s">
        <v>387</v>
      </c>
      <c r="C104" s="89">
        <v>5</v>
      </c>
      <c r="D104" s="142">
        <v>9.1</v>
      </c>
      <c r="E104" s="90">
        <v>0.4</v>
      </c>
      <c r="F104" s="143" t="s">
        <v>385</v>
      </c>
      <c r="G104" s="144"/>
      <c r="H104" s="145"/>
      <c r="I104" s="93"/>
      <c r="J104" s="94" t="e">
        <f t="shared" si="0"/>
        <v>#VALUE!</v>
      </c>
      <c r="K104" s="94" t="e">
        <f t="shared" si="1"/>
        <v>#DIV/0!</v>
      </c>
      <c r="L104" s="94" t="str">
        <f t="shared" si="2"/>
        <v>No grades yet</v>
      </c>
      <c r="M104" s="94" t="str">
        <f t="shared" si="3"/>
        <v>-</v>
      </c>
      <c r="N104" s="94" t="str">
        <f t="shared" si="4"/>
        <v>-</v>
      </c>
      <c r="O104" s="94" t="str">
        <f t="shared" si="5"/>
        <v>-</v>
      </c>
      <c r="P104" s="95" t="str">
        <f t="shared" si="6"/>
        <v>-</v>
      </c>
    </row>
    <row r="105" spans="1:16" ht="14.4" thickTop="1" thickBot="1" x14ac:dyDescent="0.3">
      <c r="A105" s="86" t="s">
        <v>388</v>
      </c>
      <c r="B105" s="85" t="s">
        <v>389</v>
      </c>
      <c r="C105" s="78">
        <v>5</v>
      </c>
      <c r="D105" s="139">
        <v>9.1</v>
      </c>
      <c r="E105" s="79">
        <v>0.4</v>
      </c>
      <c r="F105" s="121" t="s">
        <v>385</v>
      </c>
      <c r="G105" s="140"/>
      <c r="H105" s="141"/>
      <c r="I105" s="82"/>
      <c r="J105" s="83" t="e">
        <f t="shared" si="0"/>
        <v>#VALUE!</v>
      </c>
      <c r="K105" s="83" t="e">
        <f t="shared" si="1"/>
        <v>#DIV/0!</v>
      </c>
      <c r="L105" s="83" t="str">
        <f t="shared" si="2"/>
        <v>No grades yet</v>
      </c>
      <c r="M105" s="83" t="str">
        <f t="shared" si="3"/>
        <v>-</v>
      </c>
      <c r="N105" s="83" t="str">
        <f t="shared" si="4"/>
        <v>-</v>
      </c>
      <c r="O105" s="83" t="str">
        <f t="shared" si="5"/>
        <v>-</v>
      </c>
      <c r="P105" s="84" t="str">
        <f t="shared" si="6"/>
        <v>-</v>
      </c>
    </row>
    <row r="106" spans="1:16" ht="13.8" thickTop="1" x14ac:dyDescent="0.25"/>
  </sheetData>
  <mergeCells count="363">
    <mergeCell ref="F3:H3"/>
    <mergeCell ref="A40:B40"/>
    <mergeCell ref="F42:H42"/>
    <mergeCell ref="A4:A8"/>
    <mergeCell ref="E4:E8"/>
    <mergeCell ref="J4:J8"/>
    <mergeCell ref="K4:K8"/>
    <mergeCell ref="L4:L8"/>
    <mergeCell ref="M4:M8"/>
    <mergeCell ref="A11:A13"/>
    <mergeCell ref="B11:B13"/>
    <mergeCell ref="C11:C13"/>
    <mergeCell ref="D11:D13"/>
    <mergeCell ref="E11:E13"/>
    <mergeCell ref="J11:J13"/>
    <mergeCell ref="A18:A19"/>
    <mergeCell ref="B18:B19"/>
    <mergeCell ref="C18:C19"/>
    <mergeCell ref="D18:D19"/>
    <mergeCell ref="E18:E19"/>
    <mergeCell ref="J18:J19"/>
    <mergeCell ref="A24:A25"/>
    <mergeCell ref="B24:B25"/>
    <mergeCell ref="C24:C25"/>
    <mergeCell ref="O4:O8"/>
    <mergeCell ref="P4:P8"/>
    <mergeCell ref="A9:A10"/>
    <mergeCell ref="B9:B10"/>
    <mergeCell ref="C9:C10"/>
    <mergeCell ref="D9:D10"/>
    <mergeCell ref="E9:E10"/>
    <mergeCell ref="J9:J10"/>
    <mergeCell ref="K9:K10"/>
    <mergeCell ref="L9:L10"/>
    <mergeCell ref="M9:M10"/>
    <mergeCell ref="N9:N10"/>
    <mergeCell ref="O9:O10"/>
    <mergeCell ref="P9:P10"/>
    <mergeCell ref="B4:B8"/>
    <mergeCell ref="C4:C8"/>
    <mergeCell ref="D4:D8"/>
    <mergeCell ref="N4:N8"/>
    <mergeCell ref="O11:O13"/>
    <mergeCell ref="P11:P13"/>
    <mergeCell ref="A14:A17"/>
    <mergeCell ref="B14:B17"/>
    <mergeCell ref="C14:C17"/>
    <mergeCell ref="D14:D17"/>
    <mergeCell ref="E14:E17"/>
    <mergeCell ref="J14:J17"/>
    <mergeCell ref="K14:K17"/>
    <mergeCell ref="L14:L17"/>
    <mergeCell ref="M14:M17"/>
    <mergeCell ref="N14:N17"/>
    <mergeCell ref="O14:O17"/>
    <mergeCell ref="P14:P17"/>
    <mergeCell ref="K11:K13"/>
    <mergeCell ref="L11:L13"/>
    <mergeCell ref="M11:M13"/>
    <mergeCell ref="N11:N13"/>
    <mergeCell ref="K18:K19"/>
    <mergeCell ref="L18:L19"/>
    <mergeCell ref="M18:M19"/>
    <mergeCell ref="N18:N19"/>
    <mergeCell ref="O18:O19"/>
    <mergeCell ref="P18:P19"/>
    <mergeCell ref="A20:A23"/>
    <mergeCell ref="B20:B23"/>
    <mergeCell ref="C20:C23"/>
    <mergeCell ref="D20:D23"/>
    <mergeCell ref="E20:E23"/>
    <mergeCell ref="J20:J23"/>
    <mergeCell ref="K20:K23"/>
    <mergeCell ref="L20:L23"/>
    <mergeCell ref="M20:M23"/>
    <mergeCell ref="N20:N23"/>
    <mergeCell ref="O20:O23"/>
    <mergeCell ref="P20:P23"/>
    <mergeCell ref="O24:O25"/>
    <mergeCell ref="P24:P25"/>
    <mergeCell ref="A26:A29"/>
    <mergeCell ref="B26:B29"/>
    <mergeCell ref="C26:C29"/>
    <mergeCell ref="D26:D29"/>
    <mergeCell ref="E26:E29"/>
    <mergeCell ref="J26:J29"/>
    <mergeCell ref="K26:K29"/>
    <mergeCell ref="L26:L29"/>
    <mergeCell ref="M26:M29"/>
    <mergeCell ref="N26:N29"/>
    <mergeCell ref="O26:O29"/>
    <mergeCell ref="P26:P29"/>
    <mergeCell ref="D24:D25"/>
    <mergeCell ref="E24:E25"/>
    <mergeCell ref="J24:J25"/>
    <mergeCell ref="K24:K25"/>
    <mergeCell ref="L24:L25"/>
    <mergeCell ref="M24:M25"/>
    <mergeCell ref="N24:N25"/>
    <mergeCell ref="N30:N32"/>
    <mergeCell ref="O30:O32"/>
    <mergeCell ref="P30:P32"/>
    <mergeCell ref="A33:A35"/>
    <mergeCell ref="B33:B35"/>
    <mergeCell ref="C33:C35"/>
    <mergeCell ref="D33:D35"/>
    <mergeCell ref="E33:E35"/>
    <mergeCell ref="J33:J35"/>
    <mergeCell ref="K33:K35"/>
    <mergeCell ref="L33:L35"/>
    <mergeCell ref="M33:M35"/>
    <mergeCell ref="N33:N35"/>
    <mergeCell ref="O33:O35"/>
    <mergeCell ref="P33:P35"/>
    <mergeCell ref="A30:A32"/>
    <mergeCell ref="B30:B32"/>
    <mergeCell ref="C30:C32"/>
    <mergeCell ref="D30:D32"/>
    <mergeCell ref="E30:E32"/>
    <mergeCell ref="J30:J32"/>
    <mergeCell ref="K30:K32"/>
    <mergeCell ref="L30:L32"/>
    <mergeCell ref="M30:M32"/>
    <mergeCell ref="E36:E37"/>
    <mergeCell ref="J36:J37"/>
    <mergeCell ref="K36:K37"/>
    <mergeCell ref="L36:L37"/>
    <mergeCell ref="M36:M37"/>
    <mergeCell ref="N36:N37"/>
    <mergeCell ref="O36:O37"/>
    <mergeCell ref="P36:P37"/>
    <mergeCell ref="A43:A46"/>
    <mergeCell ref="B43:B46"/>
    <mergeCell ref="C43:C46"/>
    <mergeCell ref="D43:D46"/>
    <mergeCell ref="E43:E46"/>
    <mergeCell ref="J43:J46"/>
    <mergeCell ref="K43:K46"/>
    <mergeCell ref="L43:L46"/>
    <mergeCell ref="M43:M46"/>
    <mergeCell ref="N43:N46"/>
    <mergeCell ref="O43:O46"/>
    <mergeCell ref="P43:P46"/>
    <mergeCell ref="A36:A37"/>
    <mergeCell ref="B36:B37"/>
    <mergeCell ref="C36:C37"/>
    <mergeCell ref="D36:D37"/>
    <mergeCell ref="N47:N48"/>
    <mergeCell ref="O47:O48"/>
    <mergeCell ref="P47:P48"/>
    <mergeCell ref="A49:A52"/>
    <mergeCell ref="B49:B52"/>
    <mergeCell ref="C49:C52"/>
    <mergeCell ref="D49:D52"/>
    <mergeCell ref="E49:E52"/>
    <mergeCell ref="J49:J52"/>
    <mergeCell ref="K49:K52"/>
    <mergeCell ref="L49:L52"/>
    <mergeCell ref="M49:M52"/>
    <mergeCell ref="N49:N52"/>
    <mergeCell ref="O49:O52"/>
    <mergeCell ref="P49:P52"/>
    <mergeCell ref="A47:A48"/>
    <mergeCell ref="B47:B48"/>
    <mergeCell ref="C47:C48"/>
    <mergeCell ref="D47:D48"/>
    <mergeCell ref="E47:E48"/>
    <mergeCell ref="J47:J48"/>
    <mergeCell ref="K47:K48"/>
    <mergeCell ref="L47:L48"/>
    <mergeCell ref="M47:M48"/>
    <mergeCell ref="N53:N57"/>
    <mergeCell ref="O53:O57"/>
    <mergeCell ref="P53:P57"/>
    <mergeCell ref="A58:A59"/>
    <mergeCell ref="B58:B59"/>
    <mergeCell ref="C58:C59"/>
    <mergeCell ref="D58:D59"/>
    <mergeCell ref="E58:E59"/>
    <mergeCell ref="J58:J59"/>
    <mergeCell ref="K58:K59"/>
    <mergeCell ref="L58:L59"/>
    <mergeCell ref="M58:M59"/>
    <mergeCell ref="N58:N59"/>
    <mergeCell ref="O58:O59"/>
    <mergeCell ref="P58:P59"/>
    <mergeCell ref="A53:A57"/>
    <mergeCell ref="B53:B57"/>
    <mergeCell ref="C53:C57"/>
    <mergeCell ref="D53:D57"/>
    <mergeCell ref="E53:E57"/>
    <mergeCell ref="J53:J57"/>
    <mergeCell ref="K53:K57"/>
    <mergeCell ref="L53:L57"/>
    <mergeCell ref="M53:M57"/>
    <mergeCell ref="A60:A63"/>
    <mergeCell ref="B60:B63"/>
    <mergeCell ref="C60:C63"/>
    <mergeCell ref="D60:D63"/>
    <mergeCell ref="E60:E63"/>
    <mergeCell ref="J60:J63"/>
    <mergeCell ref="K60:K63"/>
    <mergeCell ref="L60:L63"/>
    <mergeCell ref="M60:M63"/>
    <mergeCell ref="N60:N63"/>
    <mergeCell ref="O60:O63"/>
    <mergeCell ref="P60:P63"/>
    <mergeCell ref="A64:A66"/>
    <mergeCell ref="A67:A68"/>
    <mergeCell ref="A69:A70"/>
    <mergeCell ref="A71:A73"/>
    <mergeCell ref="A74:A77"/>
    <mergeCell ref="A78:A79"/>
    <mergeCell ref="K64:K66"/>
    <mergeCell ref="L64:L66"/>
    <mergeCell ref="M64:M66"/>
    <mergeCell ref="N64:N66"/>
    <mergeCell ref="O64:O66"/>
    <mergeCell ref="P64:P66"/>
    <mergeCell ref="K67:K68"/>
    <mergeCell ref="L67:L68"/>
    <mergeCell ref="M67:M68"/>
    <mergeCell ref="N67:N68"/>
    <mergeCell ref="O67:O68"/>
    <mergeCell ref="P67:P68"/>
    <mergeCell ref="K69:K70"/>
    <mergeCell ref="L69:L70"/>
    <mergeCell ref="M69:M70"/>
    <mergeCell ref="A80:A81"/>
    <mergeCell ref="A82:A83"/>
    <mergeCell ref="A84:A85"/>
    <mergeCell ref="A86:A88"/>
    <mergeCell ref="B64:B66"/>
    <mergeCell ref="C64:C66"/>
    <mergeCell ref="D64:D66"/>
    <mergeCell ref="E64:E66"/>
    <mergeCell ref="J64:J66"/>
    <mergeCell ref="B67:B68"/>
    <mergeCell ref="C67:C68"/>
    <mergeCell ref="D67:D68"/>
    <mergeCell ref="E67:E68"/>
    <mergeCell ref="J67:J68"/>
    <mergeCell ref="B69:B70"/>
    <mergeCell ref="C69:C70"/>
    <mergeCell ref="D69:D70"/>
    <mergeCell ref="E69:E70"/>
    <mergeCell ref="J69:J70"/>
    <mergeCell ref="N69:N70"/>
    <mergeCell ref="O69:O70"/>
    <mergeCell ref="P69:P70"/>
    <mergeCell ref="B71:B73"/>
    <mergeCell ref="C71:C73"/>
    <mergeCell ref="D71:D73"/>
    <mergeCell ref="E71:E73"/>
    <mergeCell ref="J71:J73"/>
    <mergeCell ref="K71:K73"/>
    <mergeCell ref="L71:L73"/>
    <mergeCell ref="M71:M73"/>
    <mergeCell ref="N71:N73"/>
    <mergeCell ref="O71:O73"/>
    <mergeCell ref="P71:P73"/>
    <mergeCell ref="A89:A92"/>
    <mergeCell ref="B74:B77"/>
    <mergeCell ref="C74:C77"/>
    <mergeCell ref="D74:D77"/>
    <mergeCell ref="E74:E77"/>
    <mergeCell ref="J74:J77"/>
    <mergeCell ref="K74:K77"/>
    <mergeCell ref="L74:L77"/>
    <mergeCell ref="M74:M77"/>
    <mergeCell ref="B89:B92"/>
    <mergeCell ref="C89:C92"/>
    <mergeCell ref="D89:D92"/>
    <mergeCell ref="E89:E92"/>
    <mergeCell ref="J89:J92"/>
    <mergeCell ref="K89:K92"/>
    <mergeCell ref="L89:L92"/>
    <mergeCell ref="M89:M92"/>
    <mergeCell ref="B86:B88"/>
    <mergeCell ref="C86:C88"/>
    <mergeCell ref="D86:D88"/>
    <mergeCell ref="E86:E88"/>
    <mergeCell ref="J86:J88"/>
    <mergeCell ref="K86:K88"/>
    <mergeCell ref="L86:L88"/>
    <mergeCell ref="N74:N77"/>
    <mergeCell ref="O74:O77"/>
    <mergeCell ref="P74:P77"/>
    <mergeCell ref="B78:B79"/>
    <mergeCell ref="C78:C79"/>
    <mergeCell ref="D78:D79"/>
    <mergeCell ref="E78:E79"/>
    <mergeCell ref="J78:J79"/>
    <mergeCell ref="K78:K79"/>
    <mergeCell ref="L78:L79"/>
    <mergeCell ref="M78:M79"/>
    <mergeCell ref="N78:N79"/>
    <mergeCell ref="O78:O79"/>
    <mergeCell ref="P78:P79"/>
    <mergeCell ref="A93:A94"/>
    <mergeCell ref="A95:A96"/>
    <mergeCell ref="B95:B96"/>
    <mergeCell ref="C95:C96"/>
    <mergeCell ref="D95:D96"/>
    <mergeCell ref="E95:E96"/>
    <mergeCell ref="J95:J96"/>
    <mergeCell ref="K95:K96"/>
    <mergeCell ref="L95:L96"/>
    <mergeCell ref="M95:M96"/>
    <mergeCell ref="N95:N96"/>
    <mergeCell ref="O95:O96"/>
    <mergeCell ref="P95:P96"/>
    <mergeCell ref="B93:B94"/>
    <mergeCell ref="C93:C94"/>
    <mergeCell ref="D93:D94"/>
    <mergeCell ref="E93:E94"/>
    <mergeCell ref="J93:J94"/>
    <mergeCell ref="K93:K94"/>
    <mergeCell ref="L93:L94"/>
    <mergeCell ref="M93:M94"/>
    <mergeCell ref="N93:N94"/>
    <mergeCell ref="O93:O94"/>
    <mergeCell ref="P93:P94"/>
    <mergeCell ref="N89:N92"/>
    <mergeCell ref="O89:O92"/>
    <mergeCell ref="P89:P92"/>
    <mergeCell ref="B80:B81"/>
    <mergeCell ref="C80:C81"/>
    <mergeCell ref="D80:D81"/>
    <mergeCell ref="E80:E81"/>
    <mergeCell ref="J80:J81"/>
    <mergeCell ref="K80:K81"/>
    <mergeCell ref="L80:L81"/>
    <mergeCell ref="M80:M81"/>
    <mergeCell ref="N80:N81"/>
    <mergeCell ref="O80:O81"/>
    <mergeCell ref="P80:P81"/>
    <mergeCell ref="B82:B83"/>
    <mergeCell ref="C82:C83"/>
    <mergeCell ref="D82:D83"/>
    <mergeCell ref="E82:E83"/>
    <mergeCell ref="J82:J83"/>
    <mergeCell ref="K82:K83"/>
    <mergeCell ref="L82:L83"/>
    <mergeCell ref="M82:M83"/>
    <mergeCell ref="N82:N83"/>
    <mergeCell ref="O82:O83"/>
    <mergeCell ref="M86:M88"/>
    <mergeCell ref="N86:N88"/>
    <mergeCell ref="O86:O88"/>
    <mergeCell ref="P86:P88"/>
    <mergeCell ref="P82:P83"/>
    <mergeCell ref="B84:B85"/>
    <mergeCell ref="C84:C85"/>
    <mergeCell ref="D84:D85"/>
    <mergeCell ref="E84:E85"/>
    <mergeCell ref="J84:J85"/>
    <mergeCell ref="K84:K85"/>
    <mergeCell ref="L84:L85"/>
    <mergeCell ref="M84:M85"/>
    <mergeCell ref="N84:N85"/>
    <mergeCell ref="O84:O85"/>
    <mergeCell ref="P84:P85"/>
  </mergeCells>
  <conditionalFormatting sqref="I4:I8">
    <cfRule type="expression" dxfId="811" priority="1" stopIfTrue="1">
      <formula>ISBLANK(I4)</formula>
    </cfRule>
    <cfRule type="cellIs" dxfId="810" priority="2" stopIfTrue="1" operator="equal">
      <formula>"No grades yet"</formula>
    </cfRule>
    <cfRule type="cellIs" dxfId="809" priority="3" stopIfTrue="1" operator="greaterThanOrEqual">
      <formula>70</formula>
    </cfRule>
    <cfRule type="cellIs" dxfId="808" priority="4" stopIfTrue="1" operator="between">
      <formula>60</formula>
      <formula>69.999</formula>
    </cfRule>
    <cfRule type="cellIs" dxfId="807" priority="5" stopIfTrue="1" operator="between">
      <formula>50</formula>
      <formula>59.999</formula>
    </cfRule>
    <cfRule type="cellIs" dxfId="806" priority="6" stopIfTrue="1" operator="between">
      <formula>40</formula>
      <formula>49.999</formula>
    </cfRule>
    <cfRule type="cellIs" dxfId="805" priority="7" stopIfTrue="1" operator="lessThan">
      <formula>40</formula>
    </cfRule>
  </conditionalFormatting>
  <conditionalFormatting sqref="L4:L8">
    <cfRule type="expression" dxfId="804" priority="8" stopIfTrue="1">
      <formula>ISBLANK(L4)</formula>
    </cfRule>
    <cfRule type="cellIs" dxfId="803" priority="9" stopIfTrue="1" operator="equal">
      <formula>"No grades yet"</formula>
    </cfRule>
    <cfRule type="cellIs" dxfId="802" priority="10" stopIfTrue="1" operator="greaterThanOrEqual">
      <formula>70</formula>
    </cfRule>
    <cfRule type="cellIs" dxfId="801" priority="11" stopIfTrue="1" operator="between">
      <formula>60</formula>
      <formula>69.999</formula>
    </cfRule>
    <cfRule type="cellIs" dxfId="800" priority="12" stopIfTrue="1" operator="between">
      <formula>50</formula>
      <formula>59.999</formula>
    </cfRule>
    <cfRule type="cellIs" dxfId="799" priority="13" stopIfTrue="1" operator="between">
      <formula>40</formula>
      <formula>49.999</formula>
    </cfRule>
    <cfRule type="cellIs" dxfId="798" priority="14" stopIfTrue="1" operator="lessThan">
      <formula>40</formula>
    </cfRule>
  </conditionalFormatting>
  <conditionalFormatting sqref="I9:I10">
    <cfRule type="expression" dxfId="797" priority="15" stopIfTrue="1">
      <formula>ISBLANK(I9)</formula>
    </cfRule>
    <cfRule type="cellIs" dxfId="796" priority="16" stopIfTrue="1" operator="equal">
      <formula>"No grades yet"</formula>
    </cfRule>
    <cfRule type="cellIs" dxfId="795" priority="17" stopIfTrue="1" operator="greaterThanOrEqual">
      <formula>70</formula>
    </cfRule>
    <cfRule type="cellIs" dxfId="794" priority="18" stopIfTrue="1" operator="between">
      <formula>60</formula>
      <formula>69.999</formula>
    </cfRule>
    <cfRule type="cellIs" dxfId="793" priority="19" stopIfTrue="1" operator="between">
      <formula>50</formula>
      <formula>59.999</formula>
    </cfRule>
    <cfRule type="cellIs" dxfId="792" priority="20" stopIfTrue="1" operator="between">
      <formula>40</formula>
      <formula>49.999</formula>
    </cfRule>
    <cfRule type="cellIs" dxfId="791" priority="21" stopIfTrue="1" operator="lessThan">
      <formula>40</formula>
    </cfRule>
  </conditionalFormatting>
  <conditionalFormatting sqref="L9:L10">
    <cfRule type="expression" dxfId="790" priority="22" stopIfTrue="1">
      <formula>ISBLANK(L9)</formula>
    </cfRule>
    <cfRule type="cellIs" dxfId="789" priority="23" stopIfTrue="1" operator="equal">
      <formula>"No grades yet"</formula>
    </cfRule>
    <cfRule type="cellIs" dxfId="788" priority="24" stopIfTrue="1" operator="greaterThanOrEqual">
      <formula>70</formula>
    </cfRule>
    <cfRule type="cellIs" dxfId="787" priority="25" stopIfTrue="1" operator="between">
      <formula>60</formula>
      <formula>69.999</formula>
    </cfRule>
    <cfRule type="cellIs" dxfId="786" priority="26" stopIfTrue="1" operator="between">
      <formula>50</formula>
      <formula>59.999</formula>
    </cfRule>
    <cfRule type="cellIs" dxfId="785" priority="27" stopIfTrue="1" operator="between">
      <formula>40</formula>
      <formula>49.999</formula>
    </cfRule>
    <cfRule type="cellIs" dxfId="784" priority="28" stopIfTrue="1" operator="lessThan">
      <formula>40</formula>
    </cfRule>
  </conditionalFormatting>
  <conditionalFormatting sqref="I11:I13">
    <cfRule type="expression" dxfId="783" priority="29" stopIfTrue="1">
      <formula>ISBLANK(I11)</formula>
    </cfRule>
    <cfRule type="cellIs" dxfId="782" priority="30" stopIfTrue="1" operator="equal">
      <formula>"No grades yet"</formula>
    </cfRule>
    <cfRule type="cellIs" dxfId="781" priority="31" stopIfTrue="1" operator="greaterThanOrEqual">
      <formula>70</formula>
    </cfRule>
    <cfRule type="cellIs" dxfId="780" priority="32" stopIfTrue="1" operator="between">
      <formula>60</formula>
      <formula>69.999</formula>
    </cfRule>
    <cfRule type="cellIs" dxfId="779" priority="33" stopIfTrue="1" operator="between">
      <formula>50</formula>
      <formula>59.999</formula>
    </cfRule>
    <cfRule type="cellIs" dxfId="778" priority="34" stopIfTrue="1" operator="between">
      <formula>40</formula>
      <formula>49.999</formula>
    </cfRule>
    <cfRule type="cellIs" dxfId="777" priority="35" stopIfTrue="1" operator="lessThan">
      <formula>40</formula>
    </cfRule>
  </conditionalFormatting>
  <conditionalFormatting sqref="L11:L13">
    <cfRule type="expression" dxfId="776" priority="36" stopIfTrue="1">
      <formula>ISBLANK(L11)</formula>
    </cfRule>
    <cfRule type="cellIs" dxfId="775" priority="37" stopIfTrue="1" operator="equal">
      <formula>"No grades yet"</formula>
    </cfRule>
    <cfRule type="cellIs" dxfId="774" priority="38" stopIfTrue="1" operator="greaterThanOrEqual">
      <formula>70</formula>
    </cfRule>
    <cfRule type="cellIs" dxfId="773" priority="39" stopIfTrue="1" operator="between">
      <formula>60</formula>
      <formula>69.999</formula>
    </cfRule>
    <cfRule type="cellIs" dxfId="772" priority="40" stopIfTrue="1" operator="between">
      <formula>50</formula>
      <formula>59.999</formula>
    </cfRule>
    <cfRule type="cellIs" dxfId="771" priority="41" stopIfTrue="1" operator="between">
      <formula>40</formula>
      <formula>49.999</formula>
    </cfRule>
    <cfRule type="cellIs" dxfId="770" priority="42" stopIfTrue="1" operator="lessThan">
      <formula>40</formula>
    </cfRule>
  </conditionalFormatting>
  <conditionalFormatting sqref="I38">
    <cfRule type="expression" dxfId="769" priority="43" stopIfTrue="1">
      <formula>ISBLANK(I38)</formula>
    </cfRule>
    <cfRule type="cellIs" dxfId="768" priority="44" stopIfTrue="1" operator="equal">
      <formula>"No grades yet"</formula>
    </cfRule>
    <cfRule type="cellIs" dxfId="767" priority="45" stopIfTrue="1" operator="greaterThanOrEqual">
      <formula>70</formula>
    </cfRule>
    <cfRule type="cellIs" dxfId="766" priority="46" stopIfTrue="1" operator="between">
      <formula>60</formula>
      <formula>69.999</formula>
    </cfRule>
    <cfRule type="cellIs" dxfId="765" priority="47" stopIfTrue="1" operator="between">
      <formula>50</formula>
      <formula>59.999</formula>
    </cfRule>
    <cfRule type="cellIs" dxfId="764" priority="48" stopIfTrue="1" operator="between">
      <formula>40</formula>
      <formula>49.999</formula>
    </cfRule>
    <cfRule type="cellIs" dxfId="763" priority="49" stopIfTrue="1" operator="lessThan">
      <formula>40</formula>
    </cfRule>
  </conditionalFormatting>
  <conditionalFormatting sqref="L38">
    <cfRule type="expression" dxfId="762" priority="50" stopIfTrue="1">
      <formula>ISBLANK(L38)</formula>
    </cfRule>
    <cfRule type="cellIs" dxfId="761" priority="51" stopIfTrue="1" operator="equal">
      <formula>"No grades yet"</formula>
    </cfRule>
    <cfRule type="cellIs" dxfId="760" priority="52" stopIfTrue="1" operator="greaterThanOrEqual">
      <formula>70</formula>
    </cfRule>
    <cfRule type="cellIs" dxfId="759" priority="53" stopIfTrue="1" operator="between">
      <formula>60</formula>
      <formula>69.999</formula>
    </cfRule>
    <cfRule type="cellIs" dxfId="758" priority="54" stopIfTrue="1" operator="between">
      <formula>50</formula>
      <formula>59.999</formula>
    </cfRule>
    <cfRule type="cellIs" dxfId="757" priority="55" stopIfTrue="1" operator="between">
      <formula>40</formula>
      <formula>49.999</formula>
    </cfRule>
    <cfRule type="cellIs" dxfId="756" priority="56" stopIfTrue="1" operator="lessThan">
      <formula>40</formula>
    </cfRule>
  </conditionalFormatting>
  <conditionalFormatting sqref="I14:I17">
    <cfRule type="expression" dxfId="755" priority="57" stopIfTrue="1">
      <formula>ISBLANK(I14)</formula>
    </cfRule>
    <cfRule type="cellIs" dxfId="754" priority="58" stopIfTrue="1" operator="equal">
      <formula>"No grades yet"</formula>
    </cfRule>
    <cfRule type="cellIs" dxfId="753" priority="59" stopIfTrue="1" operator="greaterThanOrEqual">
      <formula>70</formula>
    </cfRule>
    <cfRule type="cellIs" dxfId="752" priority="60" stopIfTrue="1" operator="between">
      <formula>60</formula>
      <formula>69.999</formula>
    </cfRule>
    <cfRule type="cellIs" dxfId="751" priority="61" stopIfTrue="1" operator="between">
      <formula>50</formula>
      <formula>59.999</formula>
    </cfRule>
    <cfRule type="cellIs" dxfId="750" priority="62" stopIfTrue="1" operator="between">
      <formula>40</formula>
      <formula>49.999</formula>
    </cfRule>
    <cfRule type="cellIs" dxfId="749" priority="63" stopIfTrue="1" operator="lessThan">
      <formula>40</formula>
    </cfRule>
  </conditionalFormatting>
  <conditionalFormatting sqref="L14:L17">
    <cfRule type="expression" dxfId="748" priority="64" stopIfTrue="1">
      <formula>ISBLANK(L14)</formula>
    </cfRule>
    <cfRule type="cellIs" dxfId="747" priority="65" stopIfTrue="1" operator="equal">
      <formula>"No grades yet"</formula>
    </cfRule>
    <cfRule type="cellIs" dxfId="746" priority="66" stopIfTrue="1" operator="greaterThanOrEqual">
      <formula>70</formula>
    </cfRule>
    <cfRule type="cellIs" dxfId="745" priority="67" stopIfTrue="1" operator="between">
      <formula>60</formula>
      <formula>69.999</formula>
    </cfRule>
    <cfRule type="cellIs" dxfId="744" priority="68" stopIfTrue="1" operator="between">
      <formula>50</formula>
      <formula>59.999</formula>
    </cfRule>
    <cfRule type="cellIs" dxfId="743" priority="69" stopIfTrue="1" operator="between">
      <formula>40</formula>
      <formula>49.999</formula>
    </cfRule>
    <cfRule type="cellIs" dxfId="742" priority="70" stopIfTrue="1" operator="lessThan">
      <formula>40</formula>
    </cfRule>
  </conditionalFormatting>
  <conditionalFormatting sqref="I18:I19">
    <cfRule type="expression" dxfId="741" priority="71" stopIfTrue="1">
      <formula>ISBLANK(I18)</formula>
    </cfRule>
    <cfRule type="cellIs" dxfId="740" priority="72" stopIfTrue="1" operator="equal">
      <formula>"No grades yet"</formula>
    </cfRule>
    <cfRule type="cellIs" dxfId="739" priority="73" stopIfTrue="1" operator="greaterThanOrEqual">
      <formula>70</formula>
    </cfRule>
    <cfRule type="cellIs" dxfId="738" priority="74" stopIfTrue="1" operator="between">
      <formula>60</formula>
      <formula>69.999</formula>
    </cfRule>
    <cfRule type="cellIs" dxfId="737" priority="75" stopIfTrue="1" operator="between">
      <formula>50</formula>
      <formula>59.999</formula>
    </cfRule>
    <cfRule type="cellIs" dxfId="736" priority="76" stopIfTrue="1" operator="between">
      <formula>40</formula>
      <formula>49.999</formula>
    </cfRule>
    <cfRule type="cellIs" dxfId="735" priority="77" stopIfTrue="1" operator="lessThan">
      <formula>40</formula>
    </cfRule>
  </conditionalFormatting>
  <conditionalFormatting sqref="L18:L19">
    <cfRule type="expression" dxfId="734" priority="78" stopIfTrue="1">
      <formula>ISBLANK(L18)</formula>
    </cfRule>
    <cfRule type="cellIs" dxfId="733" priority="79" stopIfTrue="1" operator="equal">
      <formula>"No grades yet"</formula>
    </cfRule>
    <cfRule type="cellIs" dxfId="732" priority="80" stopIfTrue="1" operator="greaterThanOrEqual">
      <formula>70</formula>
    </cfRule>
    <cfRule type="cellIs" dxfId="731" priority="81" stopIfTrue="1" operator="between">
      <formula>60</formula>
      <formula>69.999</formula>
    </cfRule>
    <cfRule type="cellIs" dxfId="730" priority="82" stopIfTrue="1" operator="between">
      <formula>50</formula>
      <formula>59.999</formula>
    </cfRule>
    <cfRule type="cellIs" dxfId="729" priority="83" stopIfTrue="1" operator="between">
      <formula>40</formula>
      <formula>49.999</formula>
    </cfRule>
    <cfRule type="cellIs" dxfId="728" priority="84" stopIfTrue="1" operator="lessThan">
      <formula>40</formula>
    </cfRule>
  </conditionalFormatting>
  <conditionalFormatting sqref="I20:I23">
    <cfRule type="expression" dxfId="727" priority="85" stopIfTrue="1">
      <formula>ISBLANK(I20)</formula>
    </cfRule>
    <cfRule type="cellIs" dxfId="726" priority="86" stopIfTrue="1" operator="equal">
      <formula>"No grades yet"</formula>
    </cfRule>
    <cfRule type="cellIs" dxfId="725" priority="87" stopIfTrue="1" operator="greaterThanOrEqual">
      <formula>70</formula>
    </cfRule>
    <cfRule type="cellIs" dxfId="724" priority="88" stopIfTrue="1" operator="between">
      <formula>60</formula>
      <formula>69.999</formula>
    </cfRule>
    <cfRule type="cellIs" dxfId="723" priority="89" stopIfTrue="1" operator="between">
      <formula>50</formula>
      <formula>59.999</formula>
    </cfRule>
    <cfRule type="cellIs" dxfId="722" priority="90" stopIfTrue="1" operator="between">
      <formula>40</formula>
      <formula>49.999</formula>
    </cfRule>
    <cfRule type="cellIs" dxfId="721" priority="91" stopIfTrue="1" operator="lessThan">
      <formula>40</formula>
    </cfRule>
  </conditionalFormatting>
  <conditionalFormatting sqref="L20:L23">
    <cfRule type="expression" dxfId="720" priority="92" stopIfTrue="1">
      <formula>ISBLANK(L20)</formula>
    </cfRule>
    <cfRule type="cellIs" dxfId="719" priority="93" stopIfTrue="1" operator="equal">
      <formula>"No grades yet"</formula>
    </cfRule>
    <cfRule type="cellIs" dxfId="718" priority="94" stopIfTrue="1" operator="greaterThanOrEqual">
      <formula>70</formula>
    </cfRule>
    <cfRule type="cellIs" dxfId="717" priority="95" stopIfTrue="1" operator="between">
      <formula>60</formula>
      <formula>69.999</formula>
    </cfRule>
    <cfRule type="cellIs" dxfId="716" priority="96" stopIfTrue="1" operator="between">
      <formula>50</formula>
      <formula>59.999</formula>
    </cfRule>
    <cfRule type="cellIs" dxfId="715" priority="97" stopIfTrue="1" operator="between">
      <formula>40</formula>
      <formula>49.999</formula>
    </cfRule>
    <cfRule type="cellIs" dxfId="714" priority="98" stopIfTrue="1" operator="lessThan">
      <formula>40</formula>
    </cfRule>
  </conditionalFormatting>
  <conditionalFormatting sqref="I24:I25">
    <cfRule type="expression" dxfId="713" priority="99" stopIfTrue="1">
      <formula>ISBLANK(I24)</formula>
    </cfRule>
    <cfRule type="cellIs" dxfId="712" priority="100" stopIfTrue="1" operator="equal">
      <formula>"No grades yet"</formula>
    </cfRule>
    <cfRule type="cellIs" dxfId="711" priority="101" stopIfTrue="1" operator="greaterThanOrEqual">
      <formula>70</formula>
    </cfRule>
    <cfRule type="cellIs" dxfId="710" priority="102" stopIfTrue="1" operator="between">
      <formula>60</formula>
      <formula>69.999</formula>
    </cfRule>
    <cfRule type="cellIs" dxfId="709" priority="103" stopIfTrue="1" operator="between">
      <formula>50</formula>
      <formula>59.999</formula>
    </cfRule>
    <cfRule type="cellIs" dxfId="708" priority="104" stopIfTrue="1" operator="between">
      <formula>40</formula>
      <formula>49.999</formula>
    </cfRule>
    <cfRule type="cellIs" dxfId="707" priority="105" stopIfTrue="1" operator="lessThan">
      <formula>40</formula>
    </cfRule>
  </conditionalFormatting>
  <conditionalFormatting sqref="L24:L25">
    <cfRule type="expression" dxfId="706" priority="106" stopIfTrue="1">
      <formula>ISBLANK(L24)</formula>
    </cfRule>
    <cfRule type="cellIs" dxfId="705" priority="107" stopIfTrue="1" operator="equal">
      <formula>"No grades yet"</formula>
    </cfRule>
    <cfRule type="cellIs" dxfId="704" priority="108" stopIfTrue="1" operator="greaterThanOrEqual">
      <formula>70</formula>
    </cfRule>
    <cfRule type="cellIs" dxfId="703" priority="109" stopIfTrue="1" operator="between">
      <formula>60</formula>
      <formula>69.999</formula>
    </cfRule>
    <cfRule type="cellIs" dxfId="702" priority="110" stopIfTrue="1" operator="between">
      <formula>50</formula>
      <formula>59.999</formula>
    </cfRule>
    <cfRule type="cellIs" dxfId="701" priority="111" stopIfTrue="1" operator="between">
      <formula>40</formula>
      <formula>49.999</formula>
    </cfRule>
    <cfRule type="cellIs" dxfId="700" priority="112" stopIfTrue="1" operator="lessThan">
      <formula>40</formula>
    </cfRule>
  </conditionalFormatting>
  <conditionalFormatting sqref="I26:I29">
    <cfRule type="expression" dxfId="699" priority="113" stopIfTrue="1">
      <formula>ISBLANK(I26)</formula>
    </cfRule>
    <cfRule type="cellIs" dxfId="698" priority="114" stopIfTrue="1" operator="equal">
      <formula>"No grades yet"</formula>
    </cfRule>
    <cfRule type="cellIs" dxfId="697" priority="115" stopIfTrue="1" operator="greaterThanOrEqual">
      <formula>70</formula>
    </cfRule>
    <cfRule type="cellIs" dxfId="696" priority="116" stopIfTrue="1" operator="between">
      <formula>60</formula>
      <formula>69.999</formula>
    </cfRule>
    <cfRule type="cellIs" dxfId="695" priority="117" stopIfTrue="1" operator="between">
      <formula>50</formula>
      <formula>59.999</formula>
    </cfRule>
    <cfRule type="cellIs" dxfId="694" priority="118" stopIfTrue="1" operator="between">
      <formula>40</formula>
      <formula>49.999</formula>
    </cfRule>
    <cfRule type="cellIs" dxfId="693" priority="119" stopIfTrue="1" operator="lessThan">
      <formula>40</formula>
    </cfRule>
  </conditionalFormatting>
  <conditionalFormatting sqref="L26:L29">
    <cfRule type="expression" dxfId="692" priority="120" stopIfTrue="1">
      <formula>ISBLANK(L26)</formula>
    </cfRule>
    <cfRule type="cellIs" dxfId="691" priority="121" stopIfTrue="1" operator="equal">
      <formula>"No grades yet"</formula>
    </cfRule>
    <cfRule type="cellIs" dxfId="690" priority="122" stopIfTrue="1" operator="greaterThanOrEqual">
      <formula>70</formula>
    </cfRule>
    <cfRule type="cellIs" dxfId="689" priority="123" stopIfTrue="1" operator="between">
      <formula>60</formula>
      <formula>69.999</formula>
    </cfRule>
    <cfRule type="cellIs" dxfId="688" priority="124" stopIfTrue="1" operator="between">
      <formula>50</formula>
      <formula>59.999</formula>
    </cfRule>
    <cfRule type="cellIs" dxfId="687" priority="125" stopIfTrue="1" operator="between">
      <formula>40</formula>
      <formula>49.999</formula>
    </cfRule>
    <cfRule type="cellIs" dxfId="686" priority="126" stopIfTrue="1" operator="lessThan">
      <formula>40</formula>
    </cfRule>
  </conditionalFormatting>
  <conditionalFormatting sqref="I30:I32">
    <cfRule type="expression" dxfId="685" priority="127" stopIfTrue="1">
      <formula>ISBLANK(I30)</formula>
    </cfRule>
    <cfRule type="cellIs" dxfId="684" priority="128" stopIfTrue="1" operator="equal">
      <formula>"No grades yet"</formula>
    </cfRule>
    <cfRule type="cellIs" dxfId="683" priority="129" stopIfTrue="1" operator="greaterThanOrEqual">
      <formula>70</formula>
    </cfRule>
    <cfRule type="cellIs" dxfId="682" priority="130" stopIfTrue="1" operator="between">
      <formula>60</formula>
      <formula>69.999</formula>
    </cfRule>
    <cfRule type="cellIs" dxfId="681" priority="131" stopIfTrue="1" operator="between">
      <formula>50</formula>
      <formula>59.999</formula>
    </cfRule>
    <cfRule type="cellIs" dxfId="680" priority="132" stopIfTrue="1" operator="between">
      <formula>40</formula>
      <formula>49.999</formula>
    </cfRule>
    <cfRule type="cellIs" dxfId="679" priority="133" stopIfTrue="1" operator="lessThan">
      <formula>40</formula>
    </cfRule>
  </conditionalFormatting>
  <conditionalFormatting sqref="L30:L32">
    <cfRule type="expression" dxfId="678" priority="134" stopIfTrue="1">
      <formula>ISBLANK(L30)</formula>
    </cfRule>
    <cfRule type="cellIs" dxfId="677" priority="135" stopIfTrue="1" operator="equal">
      <formula>"No grades yet"</formula>
    </cfRule>
    <cfRule type="cellIs" dxfId="676" priority="136" stopIfTrue="1" operator="greaterThanOrEqual">
      <formula>70</formula>
    </cfRule>
    <cfRule type="cellIs" dxfId="675" priority="137" stopIfTrue="1" operator="between">
      <formula>60</formula>
      <formula>69.999</formula>
    </cfRule>
    <cfRule type="cellIs" dxfId="674" priority="138" stopIfTrue="1" operator="between">
      <formula>50</formula>
      <formula>59.999</formula>
    </cfRule>
    <cfRule type="cellIs" dxfId="673" priority="139" stopIfTrue="1" operator="between">
      <formula>40</formula>
      <formula>49.999</formula>
    </cfRule>
    <cfRule type="cellIs" dxfId="672" priority="140" stopIfTrue="1" operator="lessThan">
      <formula>40</formula>
    </cfRule>
  </conditionalFormatting>
  <conditionalFormatting sqref="I33:I35">
    <cfRule type="expression" dxfId="671" priority="141" stopIfTrue="1">
      <formula>ISBLANK(I33)</formula>
    </cfRule>
  </conditionalFormatting>
  <conditionalFormatting sqref="I33:I35">
    <cfRule type="cellIs" dxfId="670" priority="142" stopIfTrue="1" operator="equal">
      <formula>"No grades yet"</formula>
    </cfRule>
  </conditionalFormatting>
  <conditionalFormatting sqref="I33:I35">
    <cfRule type="cellIs" dxfId="669" priority="143" stopIfTrue="1" operator="greaterThanOrEqual">
      <formula>70</formula>
    </cfRule>
  </conditionalFormatting>
  <conditionalFormatting sqref="I33:I35">
    <cfRule type="cellIs" dxfId="668" priority="144" stopIfTrue="1" operator="between">
      <formula>60</formula>
      <formula>69.999</formula>
    </cfRule>
  </conditionalFormatting>
  <conditionalFormatting sqref="I33:I35">
    <cfRule type="cellIs" dxfId="667" priority="145" stopIfTrue="1" operator="between">
      <formula>50</formula>
      <formula>59.999</formula>
    </cfRule>
  </conditionalFormatting>
  <conditionalFormatting sqref="I33:I35">
    <cfRule type="cellIs" dxfId="666" priority="146" stopIfTrue="1" operator="between">
      <formula>40</formula>
      <formula>49.999</formula>
    </cfRule>
  </conditionalFormatting>
  <conditionalFormatting sqref="I33:I35">
    <cfRule type="cellIs" dxfId="665" priority="147" stopIfTrue="1" operator="lessThan">
      <formula>40</formula>
    </cfRule>
  </conditionalFormatting>
  <conditionalFormatting sqref="L33:L35">
    <cfRule type="expression" dxfId="664" priority="148" stopIfTrue="1">
      <formula>ISBLANK(L33)</formula>
    </cfRule>
  </conditionalFormatting>
  <conditionalFormatting sqref="L33:L35">
    <cfRule type="cellIs" dxfId="663" priority="149" stopIfTrue="1" operator="equal">
      <formula>"No grades yet"</formula>
    </cfRule>
  </conditionalFormatting>
  <conditionalFormatting sqref="L33:L35">
    <cfRule type="cellIs" dxfId="662" priority="150" stopIfTrue="1" operator="greaterThanOrEqual">
      <formula>70</formula>
    </cfRule>
  </conditionalFormatting>
  <conditionalFormatting sqref="L33:L35">
    <cfRule type="cellIs" dxfId="661" priority="151" stopIfTrue="1" operator="between">
      <formula>60</formula>
      <formula>69.999</formula>
    </cfRule>
  </conditionalFormatting>
  <conditionalFormatting sqref="L33:L35">
    <cfRule type="cellIs" dxfId="660" priority="152" stopIfTrue="1" operator="between">
      <formula>50</formula>
      <formula>59.999</formula>
    </cfRule>
  </conditionalFormatting>
  <conditionalFormatting sqref="L33:L35">
    <cfRule type="cellIs" dxfId="659" priority="153" stopIfTrue="1" operator="between">
      <formula>40</formula>
      <formula>49.999</formula>
    </cfRule>
  </conditionalFormatting>
  <conditionalFormatting sqref="L33:L35">
    <cfRule type="cellIs" dxfId="658" priority="154" stopIfTrue="1" operator="lessThan">
      <formula>40</formula>
    </cfRule>
  </conditionalFormatting>
  <conditionalFormatting sqref="I36:I37">
    <cfRule type="expression" dxfId="657" priority="155" stopIfTrue="1">
      <formula>ISBLANK(I36)</formula>
    </cfRule>
  </conditionalFormatting>
  <conditionalFormatting sqref="I36:I37">
    <cfRule type="cellIs" dxfId="656" priority="156" stopIfTrue="1" operator="equal">
      <formula>"No grades yet"</formula>
    </cfRule>
  </conditionalFormatting>
  <conditionalFormatting sqref="I36:I37">
    <cfRule type="cellIs" dxfId="655" priority="157" stopIfTrue="1" operator="greaterThanOrEqual">
      <formula>70</formula>
    </cfRule>
  </conditionalFormatting>
  <conditionalFormatting sqref="I36:I37">
    <cfRule type="cellIs" dxfId="654" priority="158" stopIfTrue="1" operator="between">
      <formula>60</formula>
      <formula>69.999</formula>
    </cfRule>
  </conditionalFormatting>
  <conditionalFormatting sqref="I36:I37">
    <cfRule type="cellIs" dxfId="653" priority="159" stopIfTrue="1" operator="between">
      <formula>50</formula>
      <formula>59.999</formula>
    </cfRule>
  </conditionalFormatting>
  <conditionalFormatting sqref="I36:I37">
    <cfRule type="cellIs" dxfId="652" priority="160" stopIfTrue="1" operator="between">
      <formula>40</formula>
      <formula>49.999</formula>
    </cfRule>
  </conditionalFormatting>
  <conditionalFormatting sqref="I36:I37">
    <cfRule type="cellIs" dxfId="651" priority="161" stopIfTrue="1" operator="lessThan">
      <formula>40</formula>
    </cfRule>
  </conditionalFormatting>
  <conditionalFormatting sqref="L36:L37">
    <cfRule type="expression" dxfId="650" priority="162" stopIfTrue="1">
      <formula>ISBLANK(L36)</formula>
    </cfRule>
  </conditionalFormatting>
  <conditionalFormatting sqref="L36:L37">
    <cfRule type="cellIs" dxfId="649" priority="163" stopIfTrue="1" operator="equal">
      <formula>"No grades yet"</formula>
    </cfRule>
  </conditionalFormatting>
  <conditionalFormatting sqref="L36:L37">
    <cfRule type="cellIs" dxfId="648" priority="164" stopIfTrue="1" operator="greaterThanOrEqual">
      <formula>70</formula>
    </cfRule>
  </conditionalFormatting>
  <conditionalFormatting sqref="L36:L37">
    <cfRule type="cellIs" dxfId="647" priority="165" stopIfTrue="1" operator="between">
      <formula>60</formula>
      <formula>69.999</formula>
    </cfRule>
  </conditionalFormatting>
  <conditionalFormatting sqref="L36:L37">
    <cfRule type="cellIs" dxfId="646" priority="166" stopIfTrue="1" operator="between">
      <formula>50</formula>
      <formula>59.999</formula>
    </cfRule>
  </conditionalFormatting>
  <conditionalFormatting sqref="L36:L37">
    <cfRule type="cellIs" dxfId="645" priority="167" stopIfTrue="1" operator="between">
      <formula>40</formula>
      <formula>49.999</formula>
    </cfRule>
  </conditionalFormatting>
  <conditionalFormatting sqref="L36:L37">
    <cfRule type="cellIs" dxfId="644" priority="168" stopIfTrue="1" operator="lessThan">
      <formula>40</formula>
    </cfRule>
  </conditionalFormatting>
  <conditionalFormatting sqref="I43:I46">
    <cfRule type="expression" dxfId="643" priority="169" stopIfTrue="1">
      <formula>ISBLANK(I43)</formula>
    </cfRule>
  </conditionalFormatting>
  <conditionalFormatting sqref="I43:I46">
    <cfRule type="cellIs" dxfId="642" priority="170" stopIfTrue="1" operator="equal">
      <formula>"No grades yet"</formula>
    </cfRule>
  </conditionalFormatting>
  <conditionalFormatting sqref="I43:I46">
    <cfRule type="cellIs" dxfId="641" priority="171" stopIfTrue="1" operator="greaterThanOrEqual">
      <formula>70</formula>
    </cfRule>
  </conditionalFormatting>
  <conditionalFormatting sqref="I43:I46">
    <cfRule type="cellIs" dxfId="640" priority="172" stopIfTrue="1" operator="between">
      <formula>60</formula>
      <formula>69.999</formula>
    </cfRule>
  </conditionalFormatting>
  <conditionalFormatting sqref="I43:I46">
    <cfRule type="cellIs" dxfId="639" priority="173" stopIfTrue="1" operator="between">
      <formula>50</formula>
      <formula>59.999</formula>
    </cfRule>
  </conditionalFormatting>
  <conditionalFormatting sqref="I43:I46">
    <cfRule type="cellIs" dxfId="638" priority="174" stopIfTrue="1" operator="between">
      <formula>40</formula>
      <formula>49.999</formula>
    </cfRule>
  </conditionalFormatting>
  <conditionalFormatting sqref="I43:I46">
    <cfRule type="cellIs" dxfId="637" priority="175" stopIfTrue="1" operator="lessThan">
      <formula>40</formula>
    </cfRule>
  </conditionalFormatting>
  <conditionalFormatting sqref="L43:L46">
    <cfRule type="expression" dxfId="636" priority="176" stopIfTrue="1">
      <formula>ISBLANK(L43)</formula>
    </cfRule>
  </conditionalFormatting>
  <conditionalFormatting sqref="L43:L46">
    <cfRule type="cellIs" dxfId="635" priority="177" stopIfTrue="1" operator="equal">
      <formula>"No grades yet"</formula>
    </cfRule>
  </conditionalFormatting>
  <conditionalFormatting sqref="L43:L46">
    <cfRule type="cellIs" dxfId="634" priority="178" stopIfTrue="1" operator="greaterThanOrEqual">
      <formula>70</formula>
    </cfRule>
  </conditionalFormatting>
  <conditionalFormatting sqref="L43:L46">
    <cfRule type="cellIs" dxfId="633" priority="179" stopIfTrue="1" operator="between">
      <formula>60</formula>
      <formula>69.999</formula>
    </cfRule>
  </conditionalFormatting>
  <conditionalFormatting sqref="L43:L46">
    <cfRule type="cellIs" dxfId="632" priority="180" stopIfTrue="1" operator="between">
      <formula>50</formula>
      <formula>59.999</formula>
    </cfRule>
  </conditionalFormatting>
  <conditionalFormatting sqref="L43:L46">
    <cfRule type="cellIs" dxfId="631" priority="181" stopIfTrue="1" operator="between">
      <formula>40</formula>
      <formula>49.999</formula>
    </cfRule>
  </conditionalFormatting>
  <conditionalFormatting sqref="L43:L46">
    <cfRule type="cellIs" dxfId="630" priority="182" stopIfTrue="1" operator="lessThan">
      <formula>40</formula>
    </cfRule>
  </conditionalFormatting>
  <conditionalFormatting sqref="I47:I48">
    <cfRule type="expression" dxfId="629" priority="183" stopIfTrue="1">
      <formula>ISBLANK(I47)</formula>
    </cfRule>
  </conditionalFormatting>
  <conditionalFormatting sqref="I47:I48">
    <cfRule type="cellIs" dxfId="628" priority="184" stopIfTrue="1" operator="equal">
      <formula>"No grades yet"</formula>
    </cfRule>
  </conditionalFormatting>
  <conditionalFormatting sqref="I47:I48">
    <cfRule type="cellIs" dxfId="627" priority="185" stopIfTrue="1" operator="greaterThanOrEqual">
      <formula>70</formula>
    </cfRule>
  </conditionalFormatting>
  <conditionalFormatting sqref="I47:I48">
    <cfRule type="cellIs" dxfId="626" priority="186" stopIfTrue="1" operator="between">
      <formula>60</formula>
      <formula>69.999</formula>
    </cfRule>
  </conditionalFormatting>
  <conditionalFormatting sqref="I47:I48">
    <cfRule type="cellIs" dxfId="625" priority="187" stopIfTrue="1" operator="between">
      <formula>50</formula>
      <formula>59.999</formula>
    </cfRule>
  </conditionalFormatting>
  <conditionalFormatting sqref="I47:I48">
    <cfRule type="cellIs" dxfId="624" priority="188" stopIfTrue="1" operator="between">
      <formula>40</formula>
      <formula>49.999</formula>
    </cfRule>
  </conditionalFormatting>
  <conditionalFormatting sqref="I47:I48">
    <cfRule type="cellIs" dxfId="623" priority="189" stopIfTrue="1" operator="lessThan">
      <formula>40</formula>
    </cfRule>
  </conditionalFormatting>
  <conditionalFormatting sqref="L47:L48">
    <cfRule type="expression" dxfId="622" priority="190" stopIfTrue="1">
      <formula>ISBLANK(L47)</formula>
    </cfRule>
  </conditionalFormatting>
  <conditionalFormatting sqref="L47:L48">
    <cfRule type="cellIs" dxfId="621" priority="191" stopIfTrue="1" operator="equal">
      <formula>"No grades yet"</formula>
    </cfRule>
  </conditionalFormatting>
  <conditionalFormatting sqref="L47:L48">
    <cfRule type="cellIs" dxfId="620" priority="192" stopIfTrue="1" operator="greaterThanOrEqual">
      <formula>70</formula>
    </cfRule>
  </conditionalFormatting>
  <conditionalFormatting sqref="L47:L48">
    <cfRule type="cellIs" dxfId="619" priority="193" stopIfTrue="1" operator="between">
      <formula>60</formula>
      <formula>69.999</formula>
    </cfRule>
  </conditionalFormatting>
  <conditionalFormatting sqref="L47:L48">
    <cfRule type="cellIs" dxfId="618" priority="194" stopIfTrue="1" operator="between">
      <formula>50</formula>
      <formula>59.999</formula>
    </cfRule>
  </conditionalFormatting>
  <conditionalFormatting sqref="L47:L48">
    <cfRule type="cellIs" dxfId="617" priority="195" stopIfTrue="1" operator="between">
      <formula>40</formula>
      <formula>49.999</formula>
    </cfRule>
  </conditionalFormatting>
  <conditionalFormatting sqref="L47:L48">
    <cfRule type="cellIs" dxfId="616" priority="196" stopIfTrue="1" operator="lessThan">
      <formula>40</formula>
    </cfRule>
  </conditionalFormatting>
  <conditionalFormatting sqref="I49:I52">
    <cfRule type="expression" dxfId="615" priority="197" stopIfTrue="1">
      <formula>ISBLANK(I49)</formula>
    </cfRule>
  </conditionalFormatting>
  <conditionalFormatting sqref="I49:I52">
    <cfRule type="cellIs" dxfId="614" priority="198" stopIfTrue="1" operator="equal">
      <formula>"No grades yet"</formula>
    </cfRule>
  </conditionalFormatting>
  <conditionalFormatting sqref="I49:I52">
    <cfRule type="cellIs" dxfId="613" priority="199" stopIfTrue="1" operator="greaterThanOrEqual">
      <formula>70</formula>
    </cfRule>
  </conditionalFormatting>
  <conditionalFormatting sqref="I49:I52">
    <cfRule type="cellIs" dxfId="612" priority="200" stopIfTrue="1" operator="between">
      <formula>60</formula>
      <formula>69.999</formula>
    </cfRule>
  </conditionalFormatting>
  <conditionalFormatting sqref="I49:I52">
    <cfRule type="cellIs" dxfId="611" priority="201" stopIfTrue="1" operator="between">
      <formula>50</formula>
      <formula>59.999</formula>
    </cfRule>
  </conditionalFormatting>
  <conditionalFormatting sqref="I49:I52">
    <cfRule type="cellIs" dxfId="610" priority="202" stopIfTrue="1" operator="between">
      <formula>40</formula>
      <formula>49.999</formula>
    </cfRule>
  </conditionalFormatting>
  <conditionalFormatting sqref="I49:I52">
    <cfRule type="cellIs" dxfId="609" priority="203" stopIfTrue="1" operator="lessThan">
      <formula>40</formula>
    </cfRule>
  </conditionalFormatting>
  <conditionalFormatting sqref="L49:L52">
    <cfRule type="expression" dxfId="608" priority="204" stopIfTrue="1">
      <formula>ISBLANK(L49)</formula>
    </cfRule>
  </conditionalFormatting>
  <conditionalFormatting sqref="L49:L52">
    <cfRule type="cellIs" dxfId="607" priority="205" stopIfTrue="1" operator="equal">
      <formula>"No grades yet"</formula>
    </cfRule>
  </conditionalFormatting>
  <conditionalFormatting sqref="L49:L52">
    <cfRule type="cellIs" dxfId="606" priority="206" stopIfTrue="1" operator="greaterThanOrEqual">
      <formula>70</formula>
    </cfRule>
  </conditionalFormatting>
  <conditionalFormatting sqref="L49:L52">
    <cfRule type="cellIs" dxfId="605" priority="207" stopIfTrue="1" operator="between">
      <formula>60</formula>
      <formula>69.999</formula>
    </cfRule>
  </conditionalFormatting>
  <conditionalFormatting sqref="L49:L52">
    <cfRule type="cellIs" dxfId="604" priority="208" stopIfTrue="1" operator="between">
      <formula>50</formula>
      <formula>59.999</formula>
    </cfRule>
  </conditionalFormatting>
  <conditionalFormatting sqref="L49:L52">
    <cfRule type="cellIs" dxfId="603" priority="209" stopIfTrue="1" operator="between">
      <formula>40</formula>
      <formula>49.999</formula>
    </cfRule>
  </conditionalFormatting>
  <conditionalFormatting sqref="L49:L52">
    <cfRule type="cellIs" dxfId="602" priority="210" stopIfTrue="1" operator="lessThan">
      <formula>40</formula>
    </cfRule>
  </conditionalFormatting>
  <conditionalFormatting sqref="I53:I57">
    <cfRule type="expression" dxfId="601" priority="211" stopIfTrue="1">
      <formula>ISBLANK(I53)</formula>
    </cfRule>
  </conditionalFormatting>
  <conditionalFormatting sqref="I53:I57">
    <cfRule type="cellIs" dxfId="600" priority="212" stopIfTrue="1" operator="equal">
      <formula>"No grades yet"</formula>
    </cfRule>
  </conditionalFormatting>
  <conditionalFormatting sqref="I53:I57">
    <cfRule type="cellIs" dxfId="599" priority="213" stopIfTrue="1" operator="greaterThanOrEqual">
      <formula>70</formula>
    </cfRule>
  </conditionalFormatting>
  <conditionalFormatting sqref="I53:I57">
    <cfRule type="cellIs" dxfId="598" priority="214" stopIfTrue="1" operator="between">
      <formula>60</formula>
      <formula>69.999</formula>
    </cfRule>
  </conditionalFormatting>
  <conditionalFormatting sqref="I53:I57">
    <cfRule type="cellIs" dxfId="597" priority="215" stopIfTrue="1" operator="between">
      <formula>50</formula>
      <formula>59.999</formula>
    </cfRule>
  </conditionalFormatting>
  <conditionalFormatting sqref="I53:I57">
    <cfRule type="cellIs" dxfId="596" priority="216" stopIfTrue="1" operator="between">
      <formula>40</formula>
      <formula>49.999</formula>
    </cfRule>
  </conditionalFormatting>
  <conditionalFormatting sqref="I53:I57">
    <cfRule type="cellIs" dxfId="595" priority="217" stopIfTrue="1" operator="lessThan">
      <formula>40</formula>
    </cfRule>
  </conditionalFormatting>
  <conditionalFormatting sqref="L53:L57">
    <cfRule type="expression" dxfId="594" priority="218" stopIfTrue="1">
      <formula>ISBLANK(L53)</formula>
    </cfRule>
  </conditionalFormatting>
  <conditionalFormatting sqref="L53:L57">
    <cfRule type="cellIs" dxfId="593" priority="219" stopIfTrue="1" operator="equal">
      <formula>"No grades yet"</formula>
    </cfRule>
  </conditionalFormatting>
  <conditionalFormatting sqref="L53:L57">
    <cfRule type="cellIs" dxfId="592" priority="220" stopIfTrue="1" operator="greaterThanOrEqual">
      <formula>70</formula>
    </cfRule>
  </conditionalFormatting>
  <conditionalFormatting sqref="L53:L57">
    <cfRule type="cellIs" dxfId="591" priority="221" stopIfTrue="1" operator="between">
      <formula>60</formula>
      <formula>69.999</formula>
    </cfRule>
  </conditionalFormatting>
  <conditionalFormatting sqref="L53:L57">
    <cfRule type="cellIs" dxfId="590" priority="222" stopIfTrue="1" operator="between">
      <formula>50</formula>
      <formula>59.999</formula>
    </cfRule>
  </conditionalFormatting>
  <conditionalFormatting sqref="L53:L57">
    <cfRule type="cellIs" dxfId="589" priority="223" stopIfTrue="1" operator="between">
      <formula>40</formula>
      <formula>49.999</formula>
    </cfRule>
  </conditionalFormatting>
  <conditionalFormatting sqref="L53:L57">
    <cfRule type="cellIs" dxfId="588" priority="224" stopIfTrue="1" operator="lessThan">
      <formula>40</formula>
    </cfRule>
  </conditionalFormatting>
  <conditionalFormatting sqref="I58:I59">
    <cfRule type="expression" dxfId="587" priority="225" stopIfTrue="1">
      <formula>ISBLANK(I58)</formula>
    </cfRule>
  </conditionalFormatting>
  <conditionalFormatting sqref="I58:I59">
    <cfRule type="cellIs" dxfId="586" priority="226" stopIfTrue="1" operator="equal">
      <formula>"No grades yet"</formula>
    </cfRule>
  </conditionalFormatting>
  <conditionalFormatting sqref="I58:I59">
    <cfRule type="cellIs" dxfId="585" priority="227" stopIfTrue="1" operator="greaterThanOrEqual">
      <formula>70</formula>
    </cfRule>
  </conditionalFormatting>
  <conditionalFormatting sqref="I58:I59">
    <cfRule type="cellIs" dxfId="584" priority="228" stopIfTrue="1" operator="between">
      <formula>60</formula>
      <formula>69.999</formula>
    </cfRule>
  </conditionalFormatting>
  <conditionalFormatting sqref="I58:I59">
    <cfRule type="cellIs" dxfId="583" priority="229" stopIfTrue="1" operator="between">
      <formula>50</formula>
      <formula>59.999</formula>
    </cfRule>
  </conditionalFormatting>
  <conditionalFormatting sqref="I58:I59">
    <cfRule type="cellIs" dxfId="582" priority="230" stopIfTrue="1" operator="between">
      <formula>40</formula>
      <formula>49.999</formula>
    </cfRule>
  </conditionalFormatting>
  <conditionalFormatting sqref="I58:I59">
    <cfRule type="cellIs" dxfId="581" priority="231" stopIfTrue="1" operator="lessThan">
      <formula>40</formula>
    </cfRule>
  </conditionalFormatting>
  <conditionalFormatting sqref="L58:L59">
    <cfRule type="expression" dxfId="580" priority="232" stopIfTrue="1">
      <formula>ISBLANK(L58)</formula>
    </cfRule>
  </conditionalFormatting>
  <conditionalFormatting sqref="L58:L59">
    <cfRule type="cellIs" dxfId="579" priority="233" stopIfTrue="1" operator="equal">
      <formula>"No grades yet"</formula>
    </cfRule>
  </conditionalFormatting>
  <conditionalFormatting sqref="L58:L59">
    <cfRule type="cellIs" dxfId="578" priority="234" stopIfTrue="1" operator="greaterThanOrEqual">
      <formula>70</formula>
    </cfRule>
  </conditionalFormatting>
  <conditionalFormatting sqref="L58:L59">
    <cfRule type="cellIs" dxfId="577" priority="235" stopIfTrue="1" operator="between">
      <formula>60</formula>
      <formula>69.999</formula>
    </cfRule>
  </conditionalFormatting>
  <conditionalFormatting sqref="L58:L59">
    <cfRule type="cellIs" dxfId="576" priority="236" stopIfTrue="1" operator="between">
      <formula>50</formula>
      <formula>59.999</formula>
    </cfRule>
  </conditionalFormatting>
  <conditionalFormatting sqref="L58:L59">
    <cfRule type="cellIs" dxfId="575" priority="237" stopIfTrue="1" operator="between">
      <formula>40</formula>
      <formula>49.999</formula>
    </cfRule>
  </conditionalFormatting>
  <conditionalFormatting sqref="L58:L59">
    <cfRule type="cellIs" dxfId="574" priority="238" stopIfTrue="1" operator="lessThan">
      <formula>40</formula>
    </cfRule>
  </conditionalFormatting>
  <conditionalFormatting sqref="I60:I63">
    <cfRule type="expression" dxfId="573" priority="239" stopIfTrue="1">
      <formula>ISBLANK(I60)</formula>
    </cfRule>
  </conditionalFormatting>
  <conditionalFormatting sqref="I60:I63">
    <cfRule type="cellIs" dxfId="572" priority="240" stopIfTrue="1" operator="equal">
      <formula>"No grades yet"</formula>
    </cfRule>
  </conditionalFormatting>
  <conditionalFormatting sqref="I60:I63">
    <cfRule type="cellIs" dxfId="571" priority="241" stopIfTrue="1" operator="greaterThanOrEqual">
      <formula>70</formula>
    </cfRule>
  </conditionalFormatting>
  <conditionalFormatting sqref="I60:I63">
    <cfRule type="cellIs" dxfId="570" priority="242" stopIfTrue="1" operator="between">
      <formula>60</formula>
      <formula>69.999</formula>
    </cfRule>
  </conditionalFormatting>
  <conditionalFormatting sqref="I60:I63">
    <cfRule type="cellIs" dxfId="569" priority="243" stopIfTrue="1" operator="between">
      <formula>50</formula>
      <formula>59.999</formula>
    </cfRule>
  </conditionalFormatting>
  <conditionalFormatting sqref="I60:I63">
    <cfRule type="cellIs" dxfId="568" priority="244" stopIfTrue="1" operator="between">
      <formula>40</formula>
      <formula>49.999</formula>
    </cfRule>
  </conditionalFormatting>
  <conditionalFormatting sqref="I60:I63">
    <cfRule type="cellIs" dxfId="567" priority="245" stopIfTrue="1" operator="lessThan">
      <formula>40</formula>
    </cfRule>
  </conditionalFormatting>
  <conditionalFormatting sqref="L60:L63">
    <cfRule type="expression" dxfId="566" priority="246" stopIfTrue="1">
      <formula>ISBLANK(L60)</formula>
    </cfRule>
  </conditionalFormatting>
  <conditionalFormatting sqref="L60:L63">
    <cfRule type="cellIs" dxfId="565" priority="247" stopIfTrue="1" operator="equal">
      <formula>"No grades yet"</formula>
    </cfRule>
  </conditionalFormatting>
  <conditionalFormatting sqref="L60:L63">
    <cfRule type="cellIs" dxfId="564" priority="248" stopIfTrue="1" operator="greaterThanOrEqual">
      <formula>70</formula>
    </cfRule>
  </conditionalFormatting>
  <conditionalFormatting sqref="L60:L63">
    <cfRule type="cellIs" dxfId="563" priority="249" stopIfTrue="1" operator="between">
      <formula>60</formula>
      <formula>69.999</formula>
    </cfRule>
  </conditionalFormatting>
  <conditionalFormatting sqref="L60:L63">
    <cfRule type="cellIs" dxfId="562" priority="250" stopIfTrue="1" operator="between">
      <formula>50</formula>
      <formula>59.999</formula>
    </cfRule>
  </conditionalFormatting>
  <conditionalFormatting sqref="L60:L63">
    <cfRule type="cellIs" dxfId="561" priority="251" stopIfTrue="1" operator="between">
      <formula>40</formula>
      <formula>49.999</formula>
    </cfRule>
  </conditionalFormatting>
  <conditionalFormatting sqref="L60:L63">
    <cfRule type="cellIs" dxfId="560" priority="252" stopIfTrue="1" operator="lessThan">
      <formula>40</formula>
    </cfRule>
  </conditionalFormatting>
  <conditionalFormatting sqref="I64:I66">
    <cfRule type="expression" dxfId="559" priority="253" stopIfTrue="1">
      <formula>ISBLANK(I64)</formula>
    </cfRule>
  </conditionalFormatting>
  <conditionalFormatting sqref="I64:I66">
    <cfRule type="cellIs" dxfId="558" priority="254" stopIfTrue="1" operator="equal">
      <formula>"No grades yet"</formula>
    </cfRule>
  </conditionalFormatting>
  <conditionalFormatting sqref="I64:I66">
    <cfRule type="cellIs" dxfId="557" priority="255" stopIfTrue="1" operator="greaterThanOrEqual">
      <formula>70</formula>
    </cfRule>
  </conditionalFormatting>
  <conditionalFormatting sqref="I64:I66">
    <cfRule type="cellIs" dxfId="556" priority="256" stopIfTrue="1" operator="between">
      <formula>60</formula>
      <formula>69.999</formula>
    </cfRule>
  </conditionalFormatting>
  <conditionalFormatting sqref="I64:I66">
    <cfRule type="cellIs" dxfId="555" priority="257" stopIfTrue="1" operator="between">
      <formula>50</formula>
      <formula>59.999</formula>
    </cfRule>
  </conditionalFormatting>
  <conditionalFormatting sqref="I64:I66">
    <cfRule type="cellIs" dxfId="554" priority="258" stopIfTrue="1" operator="between">
      <formula>40</formula>
      <formula>49.999</formula>
    </cfRule>
  </conditionalFormatting>
  <conditionalFormatting sqref="I64:I66">
    <cfRule type="cellIs" dxfId="553" priority="259" stopIfTrue="1" operator="lessThan">
      <formula>40</formula>
    </cfRule>
  </conditionalFormatting>
  <conditionalFormatting sqref="L64:L66">
    <cfRule type="expression" dxfId="552" priority="260" stopIfTrue="1">
      <formula>ISBLANK(L64)</formula>
    </cfRule>
  </conditionalFormatting>
  <conditionalFormatting sqref="L64:L66">
    <cfRule type="cellIs" dxfId="551" priority="261" stopIfTrue="1" operator="equal">
      <formula>"No grades yet"</formula>
    </cfRule>
  </conditionalFormatting>
  <conditionalFormatting sqref="L64:L66">
    <cfRule type="cellIs" dxfId="550" priority="262" stopIfTrue="1" operator="greaterThanOrEqual">
      <formula>70</formula>
    </cfRule>
  </conditionalFormatting>
  <conditionalFormatting sqref="L64:L66">
    <cfRule type="cellIs" dxfId="549" priority="263" stopIfTrue="1" operator="between">
      <formula>60</formula>
      <formula>69.999</formula>
    </cfRule>
  </conditionalFormatting>
  <conditionalFormatting sqref="L64:L66">
    <cfRule type="cellIs" dxfId="548" priority="264" stopIfTrue="1" operator="between">
      <formula>50</formula>
      <formula>59.999</formula>
    </cfRule>
  </conditionalFormatting>
  <conditionalFormatting sqref="L64:L66">
    <cfRule type="cellIs" dxfId="547" priority="265" stopIfTrue="1" operator="between">
      <formula>40</formula>
      <formula>49.999</formula>
    </cfRule>
  </conditionalFormatting>
  <conditionalFormatting sqref="L64:L66">
    <cfRule type="cellIs" dxfId="546" priority="266" stopIfTrue="1" operator="lessThan">
      <formula>40</formula>
    </cfRule>
  </conditionalFormatting>
  <conditionalFormatting sqref="I67:I68">
    <cfRule type="expression" dxfId="545" priority="267" stopIfTrue="1">
      <formula>ISBLANK(I67)</formula>
    </cfRule>
  </conditionalFormatting>
  <conditionalFormatting sqref="I67:I68">
    <cfRule type="cellIs" dxfId="544" priority="268" stopIfTrue="1" operator="equal">
      <formula>"No grades yet"</formula>
    </cfRule>
  </conditionalFormatting>
  <conditionalFormatting sqref="I67:I68">
    <cfRule type="cellIs" dxfId="543" priority="269" stopIfTrue="1" operator="greaterThanOrEqual">
      <formula>70</formula>
    </cfRule>
  </conditionalFormatting>
  <conditionalFormatting sqref="I67:I68">
    <cfRule type="cellIs" dxfId="542" priority="270" stopIfTrue="1" operator="between">
      <formula>60</formula>
      <formula>69.999</formula>
    </cfRule>
  </conditionalFormatting>
  <conditionalFormatting sqref="I67:I68">
    <cfRule type="cellIs" dxfId="541" priority="271" stopIfTrue="1" operator="between">
      <formula>50</formula>
      <formula>59.999</formula>
    </cfRule>
  </conditionalFormatting>
  <conditionalFormatting sqref="I67:I68">
    <cfRule type="cellIs" dxfId="540" priority="272" stopIfTrue="1" operator="between">
      <formula>40</formula>
      <formula>49.999</formula>
    </cfRule>
  </conditionalFormatting>
  <conditionalFormatting sqref="I67:I68">
    <cfRule type="cellIs" dxfId="539" priority="273" stopIfTrue="1" operator="lessThan">
      <formula>40</formula>
    </cfRule>
  </conditionalFormatting>
  <conditionalFormatting sqref="L67:L68">
    <cfRule type="expression" dxfId="538" priority="274" stopIfTrue="1">
      <formula>ISBLANK(L67)</formula>
    </cfRule>
  </conditionalFormatting>
  <conditionalFormatting sqref="L67:L68">
    <cfRule type="cellIs" dxfId="537" priority="275" stopIfTrue="1" operator="equal">
      <formula>"No grades yet"</formula>
    </cfRule>
  </conditionalFormatting>
  <conditionalFormatting sqref="L67:L68">
    <cfRule type="cellIs" dxfId="536" priority="276" stopIfTrue="1" operator="greaterThanOrEqual">
      <formula>70</formula>
    </cfRule>
  </conditionalFormatting>
  <conditionalFormatting sqref="L67:L68">
    <cfRule type="cellIs" dxfId="535" priority="277" stopIfTrue="1" operator="between">
      <formula>60</formula>
      <formula>69.999</formula>
    </cfRule>
  </conditionalFormatting>
  <conditionalFormatting sqref="L67:L68">
    <cfRule type="cellIs" dxfId="534" priority="278" stopIfTrue="1" operator="between">
      <formula>50</formula>
      <formula>59.999</formula>
    </cfRule>
  </conditionalFormatting>
  <conditionalFormatting sqref="L67:L68">
    <cfRule type="cellIs" dxfId="533" priority="279" stopIfTrue="1" operator="between">
      <formula>40</formula>
      <formula>49.999</formula>
    </cfRule>
  </conditionalFormatting>
  <conditionalFormatting sqref="L67:L68">
    <cfRule type="cellIs" dxfId="532" priority="280" stopIfTrue="1" operator="lessThan">
      <formula>40</formula>
    </cfRule>
  </conditionalFormatting>
  <conditionalFormatting sqref="I69:I70">
    <cfRule type="expression" dxfId="531" priority="281" stopIfTrue="1">
      <formula>ISBLANK(I69)</formula>
    </cfRule>
  </conditionalFormatting>
  <conditionalFormatting sqref="I69:I70">
    <cfRule type="cellIs" dxfId="530" priority="282" stopIfTrue="1" operator="equal">
      <formula>"No grades yet"</formula>
    </cfRule>
  </conditionalFormatting>
  <conditionalFormatting sqref="I69:I70">
    <cfRule type="cellIs" dxfId="529" priority="283" stopIfTrue="1" operator="greaterThanOrEqual">
      <formula>70</formula>
    </cfRule>
  </conditionalFormatting>
  <conditionalFormatting sqref="I69:I70">
    <cfRule type="cellIs" dxfId="528" priority="284" stopIfTrue="1" operator="between">
      <formula>60</formula>
      <formula>69.999</formula>
    </cfRule>
  </conditionalFormatting>
  <conditionalFormatting sqref="I69:I70">
    <cfRule type="cellIs" dxfId="527" priority="285" stopIfTrue="1" operator="between">
      <formula>50</formula>
      <formula>59.999</formula>
    </cfRule>
  </conditionalFormatting>
  <conditionalFormatting sqref="I69:I70">
    <cfRule type="cellIs" dxfId="526" priority="286" stopIfTrue="1" operator="between">
      <formula>40</formula>
      <formula>49.999</formula>
    </cfRule>
  </conditionalFormatting>
  <conditionalFormatting sqref="I69:I70">
    <cfRule type="cellIs" dxfId="525" priority="287" stopIfTrue="1" operator="lessThan">
      <formula>40</formula>
    </cfRule>
  </conditionalFormatting>
  <conditionalFormatting sqref="L69:L70">
    <cfRule type="expression" dxfId="524" priority="288" stopIfTrue="1">
      <formula>ISBLANK(L69)</formula>
    </cfRule>
  </conditionalFormatting>
  <conditionalFormatting sqref="L69:L70">
    <cfRule type="cellIs" dxfId="523" priority="289" stopIfTrue="1" operator="equal">
      <formula>"No grades yet"</formula>
    </cfRule>
  </conditionalFormatting>
  <conditionalFormatting sqref="L69:L70">
    <cfRule type="cellIs" dxfId="522" priority="290" stopIfTrue="1" operator="greaterThanOrEqual">
      <formula>70</formula>
    </cfRule>
  </conditionalFormatting>
  <conditionalFormatting sqref="L69:L70">
    <cfRule type="cellIs" dxfId="521" priority="291" stopIfTrue="1" operator="between">
      <formula>60</formula>
      <formula>69.999</formula>
    </cfRule>
  </conditionalFormatting>
  <conditionalFormatting sqref="L69:L70">
    <cfRule type="cellIs" dxfId="520" priority="292" stopIfTrue="1" operator="between">
      <formula>50</formula>
      <formula>59.999</formula>
    </cfRule>
  </conditionalFormatting>
  <conditionalFormatting sqref="L69:L70">
    <cfRule type="cellIs" dxfId="519" priority="293" stopIfTrue="1" operator="between">
      <formula>40</formula>
      <formula>49.999</formula>
    </cfRule>
  </conditionalFormatting>
  <conditionalFormatting sqref="L69:L70">
    <cfRule type="cellIs" dxfId="518" priority="294" stopIfTrue="1" operator="lessThan">
      <formula>40</formula>
    </cfRule>
  </conditionalFormatting>
  <conditionalFormatting sqref="I71:I73">
    <cfRule type="expression" dxfId="517" priority="295" stopIfTrue="1">
      <formula>ISBLANK(I71)</formula>
    </cfRule>
  </conditionalFormatting>
  <conditionalFormatting sqref="I71:I73">
    <cfRule type="cellIs" dxfId="516" priority="296" stopIfTrue="1" operator="equal">
      <formula>"No grades yet"</formula>
    </cfRule>
  </conditionalFormatting>
  <conditionalFormatting sqref="I71:I73">
    <cfRule type="cellIs" dxfId="515" priority="297" stopIfTrue="1" operator="greaterThanOrEqual">
      <formula>70</formula>
    </cfRule>
  </conditionalFormatting>
  <conditionalFormatting sqref="I71:I73">
    <cfRule type="cellIs" dxfId="514" priority="298" stopIfTrue="1" operator="between">
      <formula>60</formula>
      <formula>69.999</formula>
    </cfRule>
  </conditionalFormatting>
  <conditionalFormatting sqref="I71:I73">
    <cfRule type="cellIs" dxfId="513" priority="299" stopIfTrue="1" operator="between">
      <formula>50</formula>
      <formula>59.999</formula>
    </cfRule>
  </conditionalFormatting>
  <conditionalFormatting sqref="I71:I73">
    <cfRule type="cellIs" dxfId="512" priority="300" stopIfTrue="1" operator="between">
      <formula>40</formula>
      <formula>49.999</formula>
    </cfRule>
  </conditionalFormatting>
  <conditionalFormatting sqref="I71:I73">
    <cfRule type="cellIs" dxfId="511" priority="301" stopIfTrue="1" operator="lessThan">
      <formula>40</formula>
    </cfRule>
  </conditionalFormatting>
  <conditionalFormatting sqref="L71:L73">
    <cfRule type="expression" dxfId="510" priority="302" stopIfTrue="1">
      <formula>ISBLANK(L71)</formula>
    </cfRule>
  </conditionalFormatting>
  <conditionalFormatting sqref="L71:L73">
    <cfRule type="cellIs" dxfId="509" priority="303" stopIfTrue="1" operator="equal">
      <formula>"No grades yet"</formula>
    </cfRule>
  </conditionalFormatting>
  <conditionalFormatting sqref="L71:L73">
    <cfRule type="cellIs" dxfId="508" priority="304" stopIfTrue="1" operator="greaterThanOrEqual">
      <formula>70</formula>
    </cfRule>
  </conditionalFormatting>
  <conditionalFormatting sqref="L71:L73">
    <cfRule type="cellIs" dxfId="507" priority="305" stopIfTrue="1" operator="between">
      <formula>60</formula>
      <formula>69.999</formula>
    </cfRule>
  </conditionalFormatting>
  <conditionalFormatting sqref="L71:L73">
    <cfRule type="cellIs" dxfId="506" priority="306" stopIfTrue="1" operator="between">
      <formula>50</formula>
      <formula>59.999</formula>
    </cfRule>
  </conditionalFormatting>
  <conditionalFormatting sqref="L71:L73">
    <cfRule type="cellIs" dxfId="505" priority="307" stopIfTrue="1" operator="between">
      <formula>40</formula>
      <formula>49.999</formula>
    </cfRule>
  </conditionalFormatting>
  <conditionalFormatting sqref="L71:L73">
    <cfRule type="cellIs" dxfId="504" priority="308" stopIfTrue="1" operator="lessThan">
      <formula>40</formula>
    </cfRule>
  </conditionalFormatting>
  <conditionalFormatting sqref="I74:I77">
    <cfRule type="expression" dxfId="503" priority="309" stopIfTrue="1">
      <formula>ISBLANK(I74)</formula>
    </cfRule>
  </conditionalFormatting>
  <conditionalFormatting sqref="I74:I77">
    <cfRule type="cellIs" dxfId="502" priority="310" stopIfTrue="1" operator="equal">
      <formula>"No grades yet"</formula>
    </cfRule>
  </conditionalFormatting>
  <conditionalFormatting sqref="I74:I77">
    <cfRule type="cellIs" dxfId="501" priority="311" stopIfTrue="1" operator="greaterThanOrEqual">
      <formula>70</formula>
    </cfRule>
  </conditionalFormatting>
  <conditionalFormatting sqref="I74:I77">
    <cfRule type="cellIs" dxfId="500" priority="312" stopIfTrue="1" operator="between">
      <formula>60</formula>
      <formula>69.999</formula>
    </cfRule>
  </conditionalFormatting>
  <conditionalFormatting sqref="I74:I77">
    <cfRule type="cellIs" dxfId="499" priority="313" stopIfTrue="1" operator="between">
      <formula>50</formula>
      <formula>59.999</formula>
    </cfRule>
  </conditionalFormatting>
  <conditionalFormatting sqref="I74:I77">
    <cfRule type="cellIs" dxfId="498" priority="314" stopIfTrue="1" operator="between">
      <formula>40</formula>
      <formula>49.999</formula>
    </cfRule>
  </conditionalFormatting>
  <conditionalFormatting sqref="I74:I77">
    <cfRule type="cellIs" dxfId="497" priority="315" stopIfTrue="1" operator="lessThan">
      <formula>40</formula>
    </cfRule>
  </conditionalFormatting>
  <conditionalFormatting sqref="L74:L77">
    <cfRule type="expression" dxfId="496" priority="316" stopIfTrue="1">
      <formula>ISBLANK(L74)</formula>
    </cfRule>
  </conditionalFormatting>
  <conditionalFormatting sqref="L74:L77">
    <cfRule type="cellIs" dxfId="495" priority="317" stopIfTrue="1" operator="equal">
      <formula>"No grades yet"</formula>
    </cfRule>
  </conditionalFormatting>
  <conditionalFormatting sqref="L74:L77">
    <cfRule type="cellIs" dxfId="494" priority="318" stopIfTrue="1" operator="greaterThanOrEqual">
      <formula>70</formula>
    </cfRule>
  </conditionalFormatting>
  <conditionalFormatting sqref="L74:L77">
    <cfRule type="cellIs" dxfId="493" priority="319" stopIfTrue="1" operator="between">
      <formula>60</formula>
      <formula>69.999</formula>
    </cfRule>
  </conditionalFormatting>
  <conditionalFormatting sqref="L74:L77">
    <cfRule type="cellIs" dxfId="492" priority="320" stopIfTrue="1" operator="between">
      <formula>50</formula>
      <formula>59.999</formula>
    </cfRule>
  </conditionalFormatting>
  <conditionalFormatting sqref="L74:L77">
    <cfRule type="cellIs" dxfId="491" priority="321" stopIfTrue="1" operator="between">
      <formula>40</formula>
      <formula>49.999</formula>
    </cfRule>
  </conditionalFormatting>
  <conditionalFormatting sqref="L74:L77">
    <cfRule type="cellIs" dxfId="490" priority="322" stopIfTrue="1" operator="lessThan">
      <formula>40</formula>
    </cfRule>
  </conditionalFormatting>
  <conditionalFormatting sqref="I78:I79">
    <cfRule type="expression" dxfId="489" priority="323" stopIfTrue="1">
      <formula>ISBLANK(I78)</formula>
    </cfRule>
  </conditionalFormatting>
  <conditionalFormatting sqref="I78:I79">
    <cfRule type="cellIs" dxfId="488" priority="324" stopIfTrue="1" operator="equal">
      <formula>"No grades yet"</formula>
    </cfRule>
  </conditionalFormatting>
  <conditionalFormatting sqref="I78:I79">
    <cfRule type="cellIs" dxfId="487" priority="325" stopIfTrue="1" operator="greaterThanOrEqual">
      <formula>70</formula>
    </cfRule>
  </conditionalFormatting>
  <conditionalFormatting sqref="I78:I79">
    <cfRule type="cellIs" dxfId="486" priority="326" stopIfTrue="1" operator="between">
      <formula>60</formula>
      <formula>69.999</formula>
    </cfRule>
  </conditionalFormatting>
  <conditionalFormatting sqref="I78:I79">
    <cfRule type="cellIs" dxfId="485" priority="327" stopIfTrue="1" operator="between">
      <formula>50</formula>
      <formula>59.999</formula>
    </cfRule>
  </conditionalFormatting>
  <conditionalFormatting sqref="I78:I79">
    <cfRule type="cellIs" dxfId="484" priority="328" stopIfTrue="1" operator="between">
      <formula>40</formula>
      <formula>49.999</formula>
    </cfRule>
  </conditionalFormatting>
  <conditionalFormatting sqref="I78:I79">
    <cfRule type="cellIs" dxfId="483" priority="329" stopIfTrue="1" operator="lessThan">
      <formula>40</formula>
    </cfRule>
  </conditionalFormatting>
  <conditionalFormatting sqref="L78:L79">
    <cfRule type="expression" dxfId="482" priority="330" stopIfTrue="1">
      <formula>ISBLANK(L78)</formula>
    </cfRule>
  </conditionalFormatting>
  <conditionalFormatting sqref="L78:L79">
    <cfRule type="cellIs" dxfId="481" priority="331" stopIfTrue="1" operator="equal">
      <formula>"No grades yet"</formula>
    </cfRule>
  </conditionalFormatting>
  <conditionalFormatting sqref="L78:L79">
    <cfRule type="cellIs" dxfId="480" priority="332" stopIfTrue="1" operator="greaterThanOrEqual">
      <formula>70</formula>
    </cfRule>
  </conditionalFormatting>
  <conditionalFormatting sqref="L78:L79">
    <cfRule type="cellIs" dxfId="479" priority="333" stopIfTrue="1" operator="between">
      <formula>60</formula>
      <formula>69.999</formula>
    </cfRule>
  </conditionalFormatting>
  <conditionalFormatting sqref="L78:L79">
    <cfRule type="cellIs" dxfId="478" priority="334" stopIfTrue="1" operator="between">
      <formula>50</formula>
      <formula>59.999</formula>
    </cfRule>
  </conditionalFormatting>
  <conditionalFormatting sqref="L78:L79">
    <cfRule type="cellIs" dxfId="477" priority="335" stopIfTrue="1" operator="between">
      <formula>40</formula>
      <formula>49.999</formula>
    </cfRule>
  </conditionalFormatting>
  <conditionalFormatting sqref="L78:L79">
    <cfRule type="cellIs" dxfId="476" priority="336" stopIfTrue="1" operator="lessThan">
      <formula>40</formula>
    </cfRule>
  </conditionalFormatting>
  <conditionalFormatting sqref="I95:I96">
    <cfRule type="expression" dxfId="475" priority="337" stopIfTrue="1">
      <formula>ISBLANK(I95)</formula>
    </cfRule>
  </conditionalFormatting>
  <conditionalFormatting sqref="I95:I96">
    <cfRule type="cellIs" dxfId="474" priority="338" stopIfTrue="1" operator="equal">
      <formula>"No grades yet"</formula>
    </cfRule>
  </conditionalFormatting>
  <conditionalFormatting sqref="I95:I96">
    <cfRule type="cellIs" dxfId="473" priority="339" stopIfTrue="1" operator="greaterThanOrEqual">
      <formula>70</formula>
    </cfRule>
  </conditionalFormatting>
  <conditionalFormatting sqref="I95:I96">
    <cfRule type="cellIs" dxfId="472" priority="340" stopIfTrue="1" operator="between">
      <formula>60</formula>
      <formula>69.999</formula>
    </cfRule>
  </conditionalFormatting>
  <conditionalFormatting sqref="I95:I96">
    <cfRule type="cellIs" dxfId="471" priority="341" stopIfTrue="1" operator="between">
      <formula>50</formula>
      <formula>59.999</formula>
    </cfRule>
  </conditionalFormatting>
  <conditionalFormatting sqref="I95:I96">
    <cfRule type="cellIs" dxfId="470" priority="342" stopIfTrue="1" operator="between">
      <formula>40</formula>
      <formula>49.999</formula>
    </cfRule>
  </conditionalFormatting>
  <conditionalFormatting sqref="I95:I96">
    <cfRule type="cellIs" dxfId="469" priority="343" stopIfTrue="1" operator="lessThan">
      <formula>40</formula>
    </cfRule>
  </conditionalFormatting>
  <conditionalFormatting sqref="L95:L96">
    <cfRule type="expression" dxfId="468" priority="344" stopIfTrue="1">
      <formula>ISBLANK(L95)</formula>
    </cfRule>
  </conditionalFormatting>
  <conditionalFormatting sqref="L95:L96">
    <cfRule type="cellIs" dxfId="467" priority="345" stopIfTrue="1" operator="equal">
      <formula>"No grades yet"</formula>
    </cfRule>
  </conditionalFormatting>
  <conditionalFormatting sqref="L95:L96">
    <cfRule type="cellIs" dxfId="466" priority="346" stopIfTrue="1" operator="greaterThanOrEqual">
      <formula>70</formula>
    </cfRule>
  </conditionalFormatting>
  <conditionalFormatting sqref="L95:L96">
    <cfRule type="cellIs" dxfId="465" priority="347" stopIfTrue="1" operator="between">
      <formula>60</formula>
      <formula>69.999</formula>
    </cfRule>
  </conditionalFormatting>
  <conditionalFormatting sqref="L95:L96">
    <cfRule type="cellIs" dxfId="464" priority="348" stopIfTrue="1" operator="between">
      <formula>50</formula>
      <formula>59.999</formula>
    </cfRule>
  </conditionalFormatting>
  <conditionalFormatting sqref="L95:L96">
    <cfRule type="cellIs" dxfId="463" priority="349" stopIfTrue="1" operator="between">
      <formula>40</formula>
      <formula>49.999</formula>
    </cfRule>
  </conditionalFormatting>
  <conditionalFormatting sqref="L95:L96">
    <cfRule type="cellIs" dxfId="462" priority="350" stopIfTrue="1" operator="lessThan">
      <formula>40</formula>
    </cfRule>
  </conditionalFormatting>
  <conditionalFormatting sqref="I93:I94">
    <cfRule type="expression" dxfId="461" priority="351" stopIfTrue="1">
      <formula>ISBLANK(I93)</formula>
    </cfRule>
  </conditionalFormatting>
  <conditionalFormatting sqref="I93:I94">
    <cfRule type="cellIs" dxfId="460" priority="352" stopIfTrue="1" operator="equal">
      <formula>"No grades yet"</formula>
    </cfRule>
  </conditionalFormatting>
  <conditionalFormatting sqref="I93:I94">
    <cfRule type="cellIs" dxfId="459" priority="353" stopIfTrue="1" operator="greaterThanOrEqual">
      <formula>70</formula>
    </cfRule>
  </conditionalFormatting>
  <conditionalFormatting sqref="I93:I94">
    <cfRule type="cellIs" dxfId="458" priority="354" stopIfTrue="1" operator="between">
      <formula>60</formula>
      <formula>69.999</formula>
    </cfRule>
  </conditionalFormatting>
  <conditionalFormatting sqref="I93:I94">
    <cfRule type="cellIs" dxfId="457" priority="355" stopIfTrue="1" operator="between">
      <formula>50</formula>
      <formula>59.999</formula>
    </cfRule>
  </conditionalFormatting>
  <conditionalFormatting sqref="I93:I94">
    <cfRule type="cellIs" dxfId="456" priority="356" stopIfTrue="1" operator="between">
      <formula>40</formula>
      <formula>49.999</formula>
    </cfRule>
  </conditionalFormatting>
  <conditionalFormatting sqref="I93:I94">
    <cfRule type="cellIs" dxfId="455" priority="357" stopIfTrue="1" operator="lessThan">
      <formula>40</formula>
    </cfRule>
  </conditionalFormatting>
  <conditionalFormatting sqref="L93:L94">
    <cfRule type="expression" dxfId="454" priority="358" stopIfTrue="1">
      <formula>ISBLANK(L93)</formula>
    </cfRule>
  </conditionalFormatting>
  <conditionalFormatting sqref="L93:L94">
    <cfRule type="cellIs" dxfId="453" priority="359" stopIfTrue="1" operator="equal">
      <formula>"No grades yet"</formula>
    </cfRule>
  </conditionalFormatting>
  <conditionalFormatting sqref="L93:L94">
    <cfRule type="cellIs" dxfId="452" priority="360" stopIfTrue="1" operator="greaterThanOrEqual">
      <formula>70</formula>
    </cfRule>
  </conditionalFormatting>
  <conditionalFormatting sqref="L93:L94">
    <cfRule type="cellIs" dxfId="451" priority="361" stopIfTrue="1" operator="between">
      <formula>60</formula>
      <formula>69.999</formula>
    </cfRule>
  </conditionalFormatting>
  <conditionalFormatting sqref="L93:L94">
    <cfRule type="cellIs" dxfId="450" priority="362" stopIfTrue="1" operator="between">
      <formula>50</formula>
      <formula>59.999</formula>
    </cfRule>
  </conditionalFormatting>
  <conditionalFormatting sqref="L93:L94">
    <cfRule type="cellIs" dxfId="449" priority="363" stopIfTrue="1" operator="between">
      <formula>40</formula>
      <formula>49.999</formula>
    </cfRule>
  </conditionalFormatting>
  <conditionalFormatting sqref="L93:L94">
    <cfRule type="cellIs" dxfId="448" priority="364" stopIfTrue="1" operator="lessThan">
      <formula>40</formula>
    </cfRule>
  </conditionalFormatting>
  <conditionalFormatting sqref="I89:I92">
    <cfRule type="expression" dxfId="447" priority="365" stopIfTrue="1">
      <formula>ISBLANK(I89)</formula>
    </cfRule>
  </conditionalFormatting>
  <conditionalFormatting sqref="I89:I92">
    <cfRule type="cellIs" dxfId="446" priority="366" stopIfTrue="1" operator="equal">
      <formula>"No grades yet"</formula>
    </cfRule>
  </conditionalFormatting>
  <conditionalFormatting sqref="I89:I92">
    <cfRule type="cellIs" dxfId="445" priority="367" stopIfTrue="1" operator="greaterThanOrEqual">
      <formula>70</formula>
    </cfRule>
  </conditionalFormatting>
  <conditionalFormatting sqref="I89:I92">
    <cfRule type="cellIs" dxfId="444" priority="368" stopIfTrue="1" operator="between">
      <formula>60</formula>
      <formula>69.999</formula>
    </cfRule>
  </conditionalFormatting>
  <conditionalFormatting sqref="I89:I92">
    <cfRule type="cellIs" dxfId="443" priority="369" stopIfTrue="1" operator="between">
      <formula>50</formula>
      <formula>59.999</formula>
    </cfRule>
  </conditionalFormatting>
  <conditionalFormatting sqref="I89:I92">
    <cfRule type="cellIs" dxfId="442" priority="370" stopIfTrue="1" operator="between">
      <formula>40</formula>
      <formula>49.999</formula>
    </cfRule>
  </conditionalFormatting>
  <conditionalFormatting sqref="I89:I92">
    <cfRule type="cellIs" dxfId="441" priority="371" stopIfTrue="1" operator="lessThan">
      <formula>40</formula>
    </cfRule>
  </conditionalFormatting>
  <conditionalFormatting sqref="L89:L92">
    <cfRule type="expression" dxfId="440" priority="372" stopIfTrue="1">
      <formula>ISBLANK(L89)</formula>
    </cfRule>
  </conditionalFormatting>
  <conditionalFormatting sqref="L89:L92">
    <cfRule type="cellIs" dxfId="439" priority="373" stopIfTrue="1" operator="equal">
      <formula>"No grades yet"</formula>
    </cfRule>
  </conditionalFormatting>
  <conditionalFormatting sqref="L89:L92">
    <cfRule type="cellIs" dxfId="438" priority="374" stopIfTrue="1" operator="greaterThanOrEqual">
      <formula>70</formula>
    </cfRule>
  </conditionalFormatting>
  <conditionalFormatting sqref="L89:L92">
    <cfRule type="cellIs" dxfId="437" priority="375" stopIfTrue="1" operator="between">
      <formula>60</formula>
      <formula>69.999</formula>
    </cfRule>
  </conditionalFormatting>
  <conditionalFormatting sqref="L89:L92">
    <cfRule type="cellIs" dxfId="436" priority="376" stopIfTrue="1" operator="between">
      <formula>50</formula>
      <formula>59.999</formula>
    </cfRule>
  </conditionalFormatting>
  <conditionalFormatting sqref="L89:L92">
    <cfRule type="cellIs" dxfId="435" priority="377" stopIfTrue="1" operator="between">
      <formula>40</formula>
      <formula>49.999</formula>
    </cfRule>
  </conditionalFormatting>
  <conditionalFormatting sqref="L89:L92">
    <cfRule type="cellIs" dxfId="434" priority="378" stopIfTrue="1" operator="lessThan">
      <formula>40</formula>
    </cfRule>
  </conditionalFormatting>
  <conditionalFormatting sqref="I80:I81">
    <cfRule type="expression" dxfId="433" priority="379" stopIfTrue="1">
      <formula>ISBLANK(I80)</formula>
    </cfRule>
  </conditionalFormatting>
  <conditionalFormatting sqref="I80:I81">
    <cfRule type="cellIs" dxfId="432" priority="380" stopIfTrue="1" operator="equal">
      <formula>"No grades yet"</formula>
    </cfRule>
  </conditionalFormatting>
  <conditionalFormatting sqref="I80:I81">
    <cfRule type="cellIs" dxfId="431" priority="381" stopIfTrue="1" operator="greaterThanOrEqual">
      <formula>70</formula>
    </cfRule>
  </conditionalFormatting>
  <conditionalFormatting sqref="I80:I81">
    <cfRule type="cellIs" dxfId="430" priority="382" stopIfTrue="1" operator="between">
      <formula>60</formula>
      <formula>69.999</formula>
    </cfRule>
  </conditionalFormatting>
  <conditionalFormatting sqref="I80:I81">
    <cfRule type="cellIs" dxfId="429" priority="383" stopIfTrue="1" operator="between">
      <formula>50</formula>
      <formula>59.999</formula>
    </cfRule>
  </conditionalFormatting>
  <conditionalFormatting sqref="I80:I81">
    <cfRule type="cellIs" dxfId="428" priority="384" stopIfTrue="1" operator="between">
      <formula>40</formula>
      <formula>49.999</formula>
    </cfRule>
  </conditionalFormatting>
  <conditionalFormatting sqref="I80:I81">
    <cfRule type="cellIs" dxfId="427" priority="385" stopIfTrue="1" operator="lessThan">
      <formula>40</formula>
    </cfRule>
  </conditionalFormatting>
  <conditionalFormatting sqref="L80:L81">
    <cfRule type="expression" dxfId="426" priority="386" stopIfTrue="1">
      <formula>ISBLANK(L80)</formula>
    </cfRule>
  </conditionalFormatting>
  <conditionalFormatting sqref="L80:L81">
    <cfRule type="cellIs" dxfId="425" priority="387" stopIfTrue="1" operator="equal">
      <formula>"No grades yet"</formula>
    </cfRule>
  </conditionalFormatting>
  <conditionalFormatting sqref="L80:L81">
    <cfRule type="cellIs" dxfId="424" priority="388" stopIfTrue="1" operator="greaterThanOrEqual">
      <formula>70</formula>
    </cfRule>
  </conditionalFormatting>
  <conditionalFormatting sqref="L80:L81">
    <cfRule type="cellIs" dxfId="423" priority="389" stopIfTrue="1" operator="between">
      <formula>60</formula>
      <formula>69.999</formula>
    </cfRule>
  </conditionalFormatting>
  <conditionalFormatting sqref="L80:L81">
    <cfRule type="cellIs" dxfId="422" priority="390" stopIfTrue="1" operator="between">
      <formula>50</formula>
      <formula>59.999</formula>
    </cfRule>
  </conditionalFormatting>
  <conditionalFormatting sqref="L80:L81">
    <cfRule type="cellIs" dxfId="421" priority="391" stopIfTrue="1" operator="between">
      <formula>40</formula>
      <formula>49.999</formula>
    </cfRule>
  </conditionalFormatting>
  <conditionalFormatting sqref="L80:L81">
    <cfRule type="cellIs" dxfId="420" priority="392" stopIfTrue="1" operator="lessThan">
      <formula>40</formula>
    </cfRule>
  </conditionalFormatting>
  <conditionalFormatting sqref="I82:I83">
    <cfRule type="expression" dxfId="419" priority="393" stopIfTrue="1">
      <formula>ISBLANK(I82)</formula>
    </cfRule>
  </conditionalFormatting>
  <conditionalFormatting sqref="I82:I83">
    <cfRule type="cellIs" dxfId="418" priority="394" stopIfTrue="1" operator="equal">
      <formula>"No grades yet"</formula>
    </cfRule>
  </conditionalFormatting>
  <conditionalFormatting sqref="I82:I83">
    <cfRule type="cellIs" dxfId="417" priority="395" stopIfTrue="1" operator="greaterThanOrEqual">
      <formula>70</formula>
    </cfRule>
  </conditionalFormatting>
  <conditionalFormatting sqref="I82:I83">
    <cfRule type="cellIs" dxfId="416" priority="396" stopIfTrue="1" operator="between">
      <formula>60</formula>
      <formula>69.999</formula>
    </cfRule>
  </conditionalFormatting>
  <conditionalFormatting sqref="I82:I83">
    <cfRule type="cellIs" dxfId="415" priority="397" stopIfTrue="1" operator="between">
      <formula>50</formula>
      <formula>59.999</formula>
    </cfRule>
  </conditionalFormatting>
  <conditionalFormatting sqref="I82:I83">
    <cfRule type="cellIs" dxfId="414" priority="398" stopIfTrue="1" operator="between">
      <formula>40</formula>
      <formula>49.999</formula>
    </cfRule>
  </conditionalFormatting>
  <conditionalFormatting sqref="I82:I83">
    <cfRule type="cellIs" dxfId="413" priority="399" stopIfTrue="1" operator="lessThan">
      <formula>40</formula>
    </cfRule>
  </conditionalFormatting>
  <conditionalFormatting sqref="L82:L83">
    <cfRule type="expression" dxfId="412" priority="400" stopIfTrue="1">
      <formula>ISBLANK(L82)</formula>
    </cfRule>
  </conditionalFormatting>
  <conditionalFormatting sqref="L82:L83">
    <cfRule type="cellIs" dxfId="411" priority="401" stopIfTrue="1" operator="equal">
      <formula>"No grades yet"</formula>
    </cfRule>
  </conditionalFormatting>
  <conditionalFormatting sqref="L82:L83">
    <cfRule type="cellIs" dxfId="410" priority="402" stopIfTrue="1" operator="greaterThanOrEqual">
      <formula>70</formula>
    </cfRule>
  </conditionalFormatting>
  <conditionalFormatting sqref="L82:L83">
    <cfRule type="cellIs" dxfId="409" priority="403" stopIfTrue="1" operator="between">
      <formula>60</formula>
      <formula>69.999</formula>
    </cfRule>
  </conditionalFormatting>
  <conditionalFormatting sqref="L82:L83">
    <cfRule type="cellIs" dxfId="408" priority="404" stopIfTrue="1" operator="between">
      <formula>50</formula>
      <formula>59.999</formula>
    </cfRule>
  </conditionalFormatting>
  <conditionalFormatting sqref="L82:L83">
    <cfRule type="cellIs" dxfId="407" priority="405" stopIfTrue="1" operator="between">
      <formula>40</formula>
      <formula>49.999</formula>
    </cfRule>
  </conditionalFormatting>
  <conditionalFormatting sqref="L82:L83">
    <cfRule type="cellIs" dxfId="406" priority="406" stopIfTrue="1" operator="lessThan">
      <formula>40</formula>
    </cfRule>
  </conditionalFormatting>
  <conditionalFormatting sqref="I84:I85">
    <cfRule type="expression" dxfId="405" priority="407" stopIfTrue="1">
      <formula>ISBLANK(I84)</formula>
    </cfRule>
  </conditionalFormatting>
  <conditionalFormatting sqref="I84:I85">
    <cfRule type="cellIs" dxfId="404" priority="408" stopIfTrue="1" operator="equal">
      <formula>"No grades yet"</formula>
    </cfRule>
  </conditionalFormatting>
  <conditionalFormatting sqref="I84:I85">
    <cfRule type="cellIs" dxfId="403" priority="409" stopIfTrue="1" operator="greaterThanOrEqual">
      <formula>70</formula>
    </cfRule>
  </conditionalFormatting>
  <conditionalFormatting sqref="I84:I85">
    <cfRule type="cellIs" dxfId="402" priority="410" stopIfTrue="1" operator="between">
      <formula>60</formula>
      <formula>69.999</formula>
    </cfRule>
  </conditionalFormatting>
  <conditionalFormatting sqref="I84:I85">
    <cfRule type="cellIs" dxfId="401" priority="411" stopIfTrue="1" operator="between">
      <formula>50</formula>
      <formula>59.999</formula>
    </cfRule>
  </conditionalFormatting>
  <conditionalFormatting sqref="I84:I85">
    <cfRule type="cellIs" dxfId="400" priority="412" stopIfTrue="1" operator="between">
      <formula>40</formula>
      <formula>49.999</formula>
    </cfRule>
  </conditionalFormatting>
  <conditionalFormatting sqref="I84:I85">
    <cfRule type="cellIs" dxfId="399" priority="413" stopIfTrue="1" operator="lessThan">
      <formula>40</formula>
    </cfRule>
  </conditionalFormatting>
  <conditionalFormatting sqref="L84:L85">
    <cfRule type="expression" dxfId="398" priority="414" stopIfTrue="1">
      <formula>ISBLANK(L84)</formula>
    </cfRule>
  </conditionalFormatting>
  <conditionalFormatting sqref="L84:L85">
    <cfRule type="cellIs" dxfId="397" priority="415" stopIfTrue="1" operator="equal">
      <formula>"No grades yet"</formula>
    </cfRule>
  </conditionalFormatting>
  <conditionalFormatting sqref="L84:L85">
    <cfRule type="cellIs" dxfId="396" priority="416" stopIfTrue="1" operator="greaterThanOrEqual">
      <formula>70</formula>
    </cfRule>
  </conditionalFormatting>
  <conditionalFormatting sqref="L84:L85">
    <cfRule type="cellIs" dxfId="395" priority="417" stopIfTrue="1" operator="between">
      <formula>60</formula>
      <formula>69.999</formula>
    </cfRule>
  </conditionalFormatting>
  <conditionalFormatting sqref="L84:L85">
    <cfRule type="cellIs" dxfId="394" priority="418" stopIfTrue="1" operator="between">
      <formula>50</formula>
      <formula>59.999</formula>
    </cfRule>
  </conditionalFormatting>
  <conditionalFormatting sqref="L84:L85">
    <cfRule type="cellIs" dxfId="393" priority="419" stopIfTrue="1" operator="between">
      <formula>40</formula>
      <formula>49.999</formula>
    </cfRule>
  </conditionalFormatting>
  <conditionalFormatting sqref="L84:L85">
    <cfRule type="cellIs" dxfId="392" priority="420" stopIfTrue="1" operator="lessThan">
      <formula>40</formula>
    </cfRule>
  </conditionalFormatting>
  <conditionalFormatting sqref="I86:I88">
    <cfRule type="expression" dxfId="391" priority="421" stopIfTrue="1">
      <formula>ISBLANK(I86)</formula>
    </cfRule>
  </conditionalFormatting>
  <conditionalFormatting sqref="I86:I88">
    <cfRule type="cellIs" dxfId="390" priority="422" stopIfTrue="1" operator="equal">
      <formula>"No grades yet"</formula>
    </cfRule>
  </conditionalFormatting>
  <conditionalFormatting sqref="I86:I88">
    <cfRule type="cellIs" dxfId="389" priority="423" stopIfTrue="1" operator="greaterThanOrEqual">
      <formula>70</formula>
    </cfRule>
  </conditionalFormatting>
  <conditionalFormatting sqref="I86:I88">
    <cfRule type="cellIs" dxfId="388" priority="424" stopIfTrue="1" operator="between">
      <formula>60</formula>
      <formula>69.999</formula>
    </cfRule>
  </conditionalFormatting>
  <conditionalFormatting sqref="I86:I88">
    <cfRule type="cellIs" dxfId="387" priority="425" stopIfTrue="1" operator="between">
      <formula>50</formula>
      <formula>59.999</formula>
    </cfRule>
  </conditionalFormatting>
  <conditionalFormatting sqref="I86:I88">
    <cfRule type="cellIs" dxfId="386" priority="426" stopIfTrue="1" operator="between">
      <formula>40</formula>
      <formula>49.999</formula>
    </cfRule>
  </conditionalFormatting>
  <conditionalFormatting sqref="I86:I88">
    <cfRule type="cellIs" dxfId="385" priority="427" stopIfTrue="1" operator="lessThan">
      <formula>40</formula>
    </cfRule>
  </conditionalFormatting>
  <conditionalFormatting sqref="L86:L88">
    <cfRule type="expression" dxfId="384" priority="428" stopIfTrue="1">
      <formula>ISBLANK(L86)</formula>
    </cfRule>
  </conditionalFormatting>
  <conditionalFormatting sqref="L86:L88">
    <cfRule type="cellIs" dxfId="383" priority="429" stopIfTrue="1" operator="equal">
      <formula>"No grades yet"</formula>
    </cfRule>
  </conditionalFormatting>
  <conditionalFormatting sqref="L86:L88">
    <cfRule type="cellIs" dxfId="382" priority="430" stopIfTrue="1" operator="greaterThanOrEqual">
      <formula>70</formula>
    </cfRule>
  </conditionalFormatting>
  <conditionalFormatting sqref="L86:L88">
    <cfRule type="cellIs" dxfId="381" priority="431" stopIfTrue="1" operator="between">
      <formula>60</formula>
      <formula>69.999</formula>
    </cfRule>
  </conditionalFormatting>
  <conditionalFormatting sqref="L86:L88">
    <cfRule type="cellIs" dxfId="380" priority="432" stopIfTrue="1" operator="between">
      <formula>50</formula>
      <formula>59.999</formula>
    </cfRule>
  </conditionalFormatting>
  <conditionalFormatting sqref="L86:L88">
    <cfRule type="cellIs" dxfId="379" priority="433" stopIfTrue="1" operator="between">
      <formula>40</formula>
      <formula>49.999</formula>
    </cfRule>
  </conditionalFormatting>
  <conditionalFormatting sqref="L86:L88">
    <cfRule type="cellIs" dxfId="378" priority="434" stopIfTrue="1" operator="lessThan">
      <formula>40</formula>
    </cfRule>
  </conditionalFormatting>
  <conditionalFormatting sqref="I97">
    <cfRule type="expression" dxfId="377" priority="435" stopIfTrue="1">
      <formula>ISBLANK(I97)</formula>
    </cfRule>
  </conditionalFormatting>
  <conditionalFormatting sqref="I97">
    <cfRule type="cellIs" dxfId="376" priority="436" stopIfTrue="1" operator="equal">
      <formula>"No grades yet"</formula>
    </cfRule>
  </conditionalFormatting>
  <conditionalFormatting sqref="I97">
    <cfRule type="cellIs" dxfId="375" priority="437" stopIfTrue="1" operator="greaterThanOrEqual">
      <formula>70</formula>
    </cfRule>
  </conditionalFormatting>
  <conditionalFormatting sqref="I97">
    <cfRule type="cellIs" dxfId="374" priority="438" stopIfTrue="1" operator="between">
      <formula>60</formula>
      <formula>69.999</formula>
    </cfRule>
  </conditionalFormatting>
  <conditionalFormatting sqref="I97">
    <cfRule type="cellIs" dxfId="373" priority="439" stopIfTrue="1" operator="between">
      <formula>50</formula>
      <formula>59.999</formula>
    </cfRule>
  </conditionalFormatting>
  <conditionalFormatting sqref="I97">
    <cfRule type="cellIs" dxfId="372" priority="440" stopIfTrue="1" operator="between">
      <formula>40</formula>
      <formula>49.999</formula>
    </cfRule>
  </conditionalFormatting>
  <conditionalFormatting sqref="I97">
    <cfRule type="cellIs" dxfId="371" priority="441" stopIfTrue="1" operator="lessThan">
      <formula>40</formula>
    </cfRule>
  </conditionalFormatting>
  <conditionalFormatting sqref="L97">
    <cfRule type="expression" dxfId="370" priority="442" stopIfTrue="1">
      <formula>ISBLANK(L97)</formula>
    </cfRule>
  </conditionalFormatting>
  <conditionalFormatting sqref="L97">
    <cfRule type="cellIs" dxfId="369" priority="443" stopIfTrue="1" operator="equal">
      <formula>"No grades yet"</formula>
    </cfRule>
  </conditionalFormatting>
  <conditionalFormatting sqref="L97">
    <cfRule type="cellIs" dxfId="368" priority="444" stopIfTrue="1" operator="greaterThanOrEqual">
      <formula>70</formula>
    </cfRule>
  </conditionalFormatting>
  <conditionalFormatting sqref="L97">
    <cfRule type="cellIs" dxfId="367" priority="445" stopIfTrue="1" operator="between">
      <formula>60</formula>
      <formula>69.999</formula>
    </cfRule>
  </conditionalFormatting>
  <conditionalFormatting sqref="L97">
    <cfRule type="cellIs" dxfId="366" priority="446" stopIfTrue="1" operator="between">
      <formula>50</formula>
      <formula>59.999</formula>
    </cfRule>
  </conditionalFormatting>
  <conditionalFormatting sqref="L97">
    <cfRule type="cellIs" dxfId="365" priority="447" stopIfTrue="1" operator="between">
      <formula>40</formula>
      <formula>49.999</formula>
    </cfRule>
  </conditionalFormatting>
  <conditionalFormatting sqref="L97">
    <cfRule type="cellIs" dxfId="364" priority="448" stopIfTrue="1" operator="lessThan">
      <formula>40</formula>
    </cfRule>
  </conditionalFormatting>
  <conditionalFormatting sqref="I98">
    <cfRule type="expression" dxfId="363" priority="449" stopIfTrue="1">
      <formula>ISBLANK(I98)</formula>
    </cfRule>
  </conditionalFormatting>
  <conditionalFormatting sqref="I98">
    <cfRule type="cellIs" dxfId="362" priority="450" stopIfTrue="1" operator="equal">
      <formula>"No grades yet"</formula>
    </cfRule>
  </conditionalFormatting>
  <conditionalFormatting sqref="I98">
    <cfRule type="cellIs" dxfId="361" priority="451" stopIfTrue="1" operator="greaterThanOrEqual">
      <formula>70</formula>
    </cfRule>
  </conditionalFormatting>
  <conditionalFormatting sqref="I98">
    <cfRule type="cellIs" dxfId="360" priority="452" stopIfTrue="1" operator="between">
      <formula>60</formula>
      <formula>69.999</formula>
    </cfRule>
  </conditionalFormatting>
  <conditionalFormatting sqref="I98">
    <cfRule type="cellIs" dxfId="359" priority="453" stopIfTrue="1" operator="between">
      <formula>50</formula>
      <formula>59.999</formula>
    </cfRule>
  </conditionalFormatting>
  <conditionalFormatting sqref="I98">
    <cfRule type="cellIs" dxfId="358" priority="454" stopIfTrue="1" operator="between">
      <formula>40</formula>
      <formula>49.999</formula>
    </cfRule>
  </conditionalFormatting>
  <conditionalFormatting sqref="I98">
    <cfRule type="cellIs" dxfId="357" priority="455" stopIfTrue="1" operator="lessThan">
      <formula>40</formula>
    </cfRule>
  </conditionalFormatting>
  <conditionalFormatting sqref="L98">
    <cfRule type="expression" dxfId="356" priority="456" stopIfTrue="1">
      <formula>ISBLANK(L98)</formula>
    </cfRule>
  </conditionalFormatting>
  <conditionalFormatting sqref="L98">
    <cfRule type="cellIs" dxfId="355" priority="457" stopIfTrue="1" operator="equal">
      <formula>"No grades yet"</formula>
    </cfRule>
  </conditionalFormatting>
  <conditionalFormatting sqref="L98">
    <cfRule type="cellIs" dxfId="354" priority="458" stopIfTrue="1" operator="greaterThanOrEqual">
      <formula>70</formula>
    </cfRule>
  </conditionalFormatting>
  <conditionalFormatting sqref="L98">
    <cfRule type="cellIs" dxfId="353" priority="459" stopIfTrue="1" operator="between">
      <formula>60</formula>
      <formula>69.999</formula>
    </cfRule>
  </conditionalFormatting>
  <conditionalFormatting sqref="L98">
    <cfRule type="cellIs" dxfId="352" priority="460" stopIfTrue="1" operator="between">
      <formula>50</formula>
      <formula>59.999</formula>
    </cfRule>
  </conditionalFormatting>
  <conditionalFormatting sqref="L98">
    <cfRule type="cellIs" dxfId="351" priority="461" stopIfTrue="1" operator="between">
      <formula>40</formula>
      <formula>49.999</formula>
    </cfRule>
  </conditionalFormatting>
  <conditionalFormatting sqref="L98">
    <cfRule type="cellIs" dxfId="350" priority="462" stopIfTrue="1" operator="lessThan">
      <formula>40</formula>
    </cfRule>
  </conditionalFormatting>
  <conditionalFormatting sqref="I99">
    <cfRule type="expression" dxfId="349" priority="463" stopIfTrue="1">
      <formula>ISBLANK(I99)</formula>
    </cfRule>
  </conditionalFormatting>
  <conditionalFormatting sqref="I99">
    <cfRule type="cellIs" dxfId="348" priority="464" stopIfTrue="1" operator="equal">
      <formula>"No grades yet"</formula>
    </cfRule>
  </conditionalFormatting>
  <conditionalFormatting sqref="I99">
    <cfRule type="cellIs" dxfId="347" priority="465" stopIfTrue="1" operator="greaterThanOrEqual">
      <formula>70</formula>
    </cfRule>
  </conditionalFormatting>
  <conditionalFormatting sqref="I99">
    <cfRule type="cellIs" dxfId="346" priority="466" stopIfTrue="1" operator="between">
      <formula>60</formula>
      <formula>69.999</formula>
    </cfRule>
  </conditionalFormatting>
  <conditionalFormatting sqref="I99">
    <cfRule type="cellIs" dxfId="345" priority="467" stopIfTrue="1" operator="between">
      <formula>50</formula>
      <formula>59.999</formula>
    </cfRule>
  </conditionalFormatting>
  <conditionalFormatting sqref="I99">
    <cfRule type="cellIs" dxfId="344" priority="468" stopIfTrue="1" operator="between">
      <formula>40</formula>
      <formula>49.999</formula>
    </cfRule>
  </conditionalFormatting>
  <conditionalFormatting sqref="I99">
    <cfRule type="cellIs" dxfId="343" priority="469" stopIfTrue="1" operator="lessThan">
      <formula>40</formula>
    </cfRule>
  </conditionalFormatting>
  <conditionalFormatting sqref="L99">
    <cfRule type="expression" dxfId="342" priority="470" stopIfTrue="1">
      <formula>ISBLANK(L99)</formula>
    </cfRule>
  </conditionalFormatting>
  <conditionalFormatting sqref="L99">
    <cfRule type="cellIs" dxfId="341" priority="471" stopIfTrue="1" operator="equal">
      <formula>"No grades yet"</formula>
    </cfRule>
  </conditionalFormatting>
  <conditionalFormatting sqref="L99">
    <cfRule type="cellIs" dxfId="340" priority="472" stopIfTrue="1" operator="greaterThanOrEqual">
      <formula>70</formula>
    </cfRule>
  </conditionalFormatting>
  <conditionalFormatting sqref="L99">
    <cfRule type="cellIs" dxfId="339" priority="473" stopIfTrue="1" operator="between">
      <formula>60</formula>
      <formula>69.999</formula>
    </cfRule>
  </conditionalFormatting>
  <conditionalFormatting sqref="L99">
    <cfRule type="cellIs" dxfId="338" priority="474" stopIfTrue="1" operator="between">
      <formula>50</formula>
      <formula>59.999</formula>
    </cfRule>
  </conditionalFormatting>
  <conditionalFormatting sqref="L99">
    <cfRule type="cellIs" dxfId="337" priority="475" stopIfTrue="1" operator="between">
      <formula>40</formula>
      <formula>49.999</formula>
    </cfRule>
  </conditionalFormatting>
  <conditionalFormatting sqref="L99">
    <cfRule type="cellIs" dxfId="336" priority="476" stopIfTrue="1" operator="lessThan">
      <formula>40</formula>
    </cfRule>
  </conditionalFormatting>
  <conditionalFormatting sqref="I100">
    <cfRule type="expression" dxfId="335" priority="477" stopIfTrue="1">
      <formula>ISBLANK(I100)</formula>
    </cfRule>
  </conditionalFormatting>
  <conditionalFormatting sqref="I100">
    <cfRule type="cellIs" dxfId="334" priority="478" stopIfTrue="1" operator="equal">
      <formula>"No grades yet"</formula>
    </cfRule>
  </conditionalFormatting>
  <conditionalFormatting sqref="I100">
    <cfRule type="cellIs" dxfId="333" priority="479" stopIfTrue="1" operator="greaterThanOrEqual">
      <formula>70</formula>
    </cfRule>
  </conditionalFormatting>
  <conditionalFormatting sqref="I100">
    <cfRule type="cellIs" dxfId="332" priority="480" stopIfTrue="1" operator="between">
      <formula>60</formula>
      <formula>69.999</formula>
    </cfRule>
  </conditionalFormatting>
  <conditionalFormatting sqref="I100">
    <cfRule type="cellIs" dxfId="331" priority="481" stopIfTrue="1" operator="between">
      <formula>50</formula>
      <formula>59.999</formula>
    </cfRule>
  </conditionalFormatting>
  <conditionalFormatting sqref="I100">
    <cfRule type="cellIs" dxfId="330" priority="482" stopIfTrue="1" operator="between">
      <formula>40</formula>
      <formula>49.999</formula>
    </cfRule>
  </conditionalFormatting>
  <conditionalFormatting sqref="I100">
    <cfRule type="cellIs" dxfId="329" priority="483" stopIfTrue="1" operator="lessThan">
      <formula>40</formula>
    </cfRule>
  </conditionalFormatting>
  <conditionalFormatting sqref="L100">
    <cfRule type="expression" dxfId="328" priority="484" stopIfTrue="1">
      <formula>ISBLANK(L100)</formula>
    </cfRule>
  </conditionalFormatting>
  <conditionalFormatting sqref="L100">
    <cfRule type="cellIs" dxfId="327" priority="485" stopIfTrue="1" operator="equal">
      <formula>"No grades yet"</formula>
    </cfRule>
  </conditionalFormatting>
  <conditionalFormatting sqref="L100">
    <cfRule type="cellIs" dxfId="326" priority="486" stopIfTrue="1" operator="greaterThanOrEqual">
      <formula>70</formula>
    </cfRule>
  </conditionalFormatting>
  <conditionalFormatting sqref="L100">
    <cfRule type="cellIs" dxfId="325" priority="487" stopIfTrue="1" operator="between">
      <formula>60</formula>
      <formula>69.999</formula>
    </cfRule>
  </conditionalFormatting>
  <conditionalFormatting sqref="L100">
    <cfRule type="cellIs" dxfId="324" priority="488" stopIfTrue="1" operator="between">
      <formula>50</formula>
      <formula>59.999</formula>
    </cfRule>
  </conditionalFormatting>
  <conditionalFormatting sqref="L100">
    <cfRule type="cellIs" dxfId="323" priority="489" stopIfTrue="1" operator="between">
      <formula>40</formula>
      <formula>49.999</formula>
    </cfRule>
  </conditionalFormatting>
  <conditionalFormatting sqref="L100">
    <cfRule type="cellIs" dxfId="322" priority="490" stopIfTrue="1" operator="lessThan">
      <formula>40</formula>
    </cfRule>
  </conditionalFormatting>
  <conditionalFormatting sqref="I101">
    <cfRule type="expression" dxfId="321" priority="491" stopIfTrue="1">
      <formula>ISBLANK(I101)</formula>
    </cfRule>
  </conditionalFormatting>
  <conditionalFormatting sqref="I101">
    <cfRule type="cellIs" dxfId="320" priority="492" stopIfTrue="1" operator="equal">
      <formula>"No grades yet"</formula>
    </cfRule>
  </conditionalFormatting>
  <conditionalFormatting sqref="I101">
    <cfRule type="cellIs" dxfId="319" priority="493" stopIfTrue="1" operator="greaterThanOrEqual">
      <formula>70</formula>
    </cfRule>
  </conditionalFormatting>
  <conditionalFormatting sqref="I101">
    <cfRule type="cellIs" dxfId="318" priority="494" stopIfTrue="1" operator="between">
      <formula>60</formula>
      <formula>69.999</formula>
    </cfRule>
  </conditionalFormatting>
  <conditionalFormatting sqref="I101">
    <cfRule type="cellIs" dxfId="317" priority="495" stopIfTrue="1" operator="between">
      <formula>50</formula>
      <formula>59.999</formula>
    </cfRule>
  </conditionalFormatting>
  <conditionalFormatting sqref="I101">
    <cfRule type="cellIs" dxfId="316" priority="496" stopIfTrue="1" operator="between">
      <formula>40</formula>
      <formula>49.999</formula>
    </cfRule>
  </conditionalFormatting>
  <conditionalFormatting sqref="I101">
    <cfRule type="cellIs" dxfId="315" priority="497" stopIfTrue="1" operator="lessThan">
      <formula>40</formula>
    </cfRule>
  </conditionalFormatting>
  <conditionalFormatting sqref="L101">
    <cfRule type="expression" dxfId="314" priority="498" stopIfTrue="1">
      <formula>ISBLANK(L101)</formula>
    </cfRule>
  </conditionalFormatting>
  <conditionalFormatting sqref="L101">
    <cfRule type="cellIs" dxfId="313" priority="499" stopIfTrue="1" operator="equal">
      <formula>"No grades yet"</formula>
    </cfRule>
  </conditionalFormatting>
  <conditionalFormatting sqref="L101">
    <cfRule type="cellIs" dxfId="312" priority="500" stopIfTrue="1" operator="greaterThanOrEqual">
      <formula>70</formula>
    </cfRule>
  </conditionalFormatting>
  <conditionalFormatting sqref="L101">
    <cfRule type="cellIs" dxfId="311" priority="501" stopIfTrue="1" operator="between">
      <formula>60</formula>
      <formula>69.999</formula>
    </cfRule>
  </conditionalFormatting>
  <conditionalFormatting sqref="L101">
    <cfRule type="cellIs" dxfId="310" priority="502" stopIfTrue="1" operator="between">
      <formula>50</formula>
      <formula>59.999</formula>
    </cfRule>
  </conditionalFormatting>
  <conditionalFormatting sqref="L101">
    <cfRule type="cellIs" dxfId="309" priority="503" stopIfTrue="1" operator="between">
      <formula>40</formula>
      <formula>49.999</formula>
    </cfRule>
  </conditionalFormatting>
  <conditionalFormatting sqref="L101">
    <cfRule type="cellIs" dxfId="308" priority="504" stopIfTrue="1" operator="lessThan">
      <formula>40</formula>
    </cfRule>
  </conditionalFormatting>
  <conditionalFormatting sqref="I102">
    <cfRule type="expression" dxfId="307" priority="505" stopIfTrue="1">
      <formula>ISBLANK(I102)</formula>
    </cfRule>
  </conditionalFormatting>
  <conditionalFormatting sqref="I102">
    <cfRule type="cellIs" dxfId="306" priority="506" stopIfTrue="1" operator="equal">
      <formula>"No grades yet"</formula>
    </cfRule>
  </conditionalFormatting>
  <conditionalFormatting sqref="I102">
    <cfRule type="cellIs" dxfId="305" priority="507" stopIfTrue="1" operator="greaterThanOrEqual">
      <formula>70</formula>
    </cfRule>
  </conditionalFormatting>
  <conditionalFormatting sqref="I102">
    <cfRule type="cellIs" dxfId="304" priority="508" stopIfTrue="1" operator="between">
      <formula>60</formula>
      <formula>69.999</formula>
    </cfRule>
  </conditionalFormatting>
  <conditionalFormatting sqref="I102">
    <cfRule type="cellIs" dxfId="303" priority="509" stopIfTrue="1" operator="between">
      <formula>50</formula>
      <formula>59.999</formula>
    </cfRule>
  </conditionalFormatting>
  <conditionalFormatting sqref="I102">
    <cfRule type="cellIs" dxfId="302" priority="510" stopIfTrue="1" operator="between">
      <formula>40</formula>
      <formula>49.999</formula>
    </cfRule>
  </conditionalFormatting>
  <conditionalFormatting sqref="I102">
    <cfRule type="cellIs" dxfId="301" priority="511" stopIfTrue="1" operator="lessThan">
      <formula>40</formula>
    </cfRule>
  </conditionalFormatting>
  <conditionalFormatting sqref="L102">
    <cfRule type="expression" dxfId="300" priority="512" stopIfTrue="1">
      <formula>ISBLANK(L102)</formula>
    </cfRule>
  </conditionalFormatting>
  <conditionalFormatting sqref="L102">
    <cfRule type="cellIs" dxfId="299" priority="513" stopIfTrue="1" operator="equal">
      <formula>"No grades yet"</formula>
    </cfRule>
  </conditionalFormatting>
  <conditionalFormatting sqref="L102">
    <cfRule type="cellIs" dxfId="298" priority="514" stopIfTrue="1" operator="greaterThanOrEqual">
      <formula>70</formula>
    </cfRule>
  </conditionalFormatting>
  <conditionalFormatting sqref="L102">
    <cfRule type="cellIs" dxfId="297" priority="515" stopIfTrue="1" operator="between">
      <formula>60</formula>
      <formula>69.999</formula>
    </cfRule>
  </conditionalFormatting>
  <conditionalFormatting sqref="L102">
    <cfRule type="cellIs" dxfId="296" priority="516" stopIfTrue="1" operator="between">
      <formula>50</formula>
      <formula>59.999</formula>
    </cfRule>
  </conditionalFormatting>
  <conditionalFormatting sqref="L102">
    <cfRule type="cellIs" dxfId="295" priority="517" stopIfTrue="1" operator="between">
      <formula>40</formula>
      <formula>49.999</formula>
    </cfRule>
  </conditionalFormatting>
  <conditionalFormatting sqref="L102">
    <cfRule type="cellIs" dxfId="294" priority="518" stopIfTrue="1" operator="lessThan">
      <formula>40</formula>
    </cfRule>
  </conditionalFormatting>
  <conditionalFormatting sqref="I103">
    <cfRule type="expression" dxfId="293" priority="519" stopIfTrue="1">
      <formula>ISBLANK(I103)</formula>
    </cfRule>
  </conditionalFormatting>
  <conditionalFormatting sqref="I103">
    <cfRule type="cellIs" dxfId="292" priority="520" stopIfTrue="1" operator="equal">
      <formula>"No grades yet"</formula>
    </cfRule>
  </conditionalFormatting>
  <conditionalFormatting sqref="I103">
    <cfRule type="cellIs" dxfId="291" priority="521" stopIfTrue="1" operator="greaterThanOrEqual">
      <formula>70</formula>
    </cfRule>
  </conditionalFormatting>
  <conditionalFormatting sqref="I103">
    <cfRule type="cellIs" dxfId="290" priority="522" stopIfTrue="1" operator="between">
      <formula>60</formula>
      <formula>69.999</formula>
    </cfRule>
  </conditionalFormatting>
  <conditionalFormatting sqref="I103">
    <cfRule type="cellIs" dxfId="289" priority="523" stopIfTrue="1" operator="between">
      <formula>50</formula>
      <formula>59.999</formula>
    </cfRule>
  </conditionalFormatting>
  <conditionalFormatting sqref="I103">
    <cfRule type="cellIs" dxfId="288" priority="524" stopIfTrue="1" operator="between">
      <formula>40</formula>
      <formula>49.999</formula>
    </cfRule>
  </conditionalFormatting>
  <conditionalFormatting sqref="I103">
    <cfRule type="cellIs" dxfId="287" priority="525" stopIfTrue="1" operator="lessThan">
      <formula>40</formula>
    </cfRule>
  </conditionalFormatting>
  <conditionalFormatting sqref="L103">
    <cfRule type="expression" dxfId="286" priority="526" stopIfTrue="1">
      <formula>ISBLANK(L103)</formula>
    </cfRule>
  </conditionalFormatting>
  <conditionalFormatting sqref="L103">
    <cfRule type="cellIs" dxfId="285" priority="527" stopIfTrue="1" operator="equal">
      <formula>"No grades yet"</formula>
    </cfRule>
  </conditionalFormatting>
  <conditionalFormatting sqref="L103">
    <cfRule type="cellIs" dxfId="284" priority="528" stopIfTrue="1" operator="greaterThanOrEqual">
      <formula>70</formula>
    </cfRule>
  </conditionalFormatting>
  <conditionalFormatting sqref="L103">
    <cfRule type="cellIs" dxfId="283" priority="529" stopIfTrue="1" operator="between">
      <formula>60</formula>
      <formula>69.999</formula>
    </cfRule>
  </conditionalFormatting>
  <conditionalFormatting sqref="L103">
    <cfRule type="cellIs" dxfId="282" priority="530" stopIfTrue="1" operator="between">
      <formula>50</formula>
      <formula>59.999</formula>
    </cfRule>
  </conditionalFormatting>
  <conditionalFormatting sqref="L103">
    <cfRule type="cellIs" dxfId="281" priority="531" stopIfTrue="1" operator="between">
      <formula>40</formula>
      <formula>49.999</formula>
    </cfRule>
  </conditionalFormatting>
  <conditionalFormatting sqref="L103">
    <cfRule type="cellIs" dxfId="280" priority="532" stopIfTrue="1" operator="lessThan">
      <formula>40</formula>
    </cfRule>
  </conditionalFormatting>
  <conditionalFormatting sqref="I104">
    <cfRule type="expression" dxfId="279" priority="533" stopIfTrue="1">
      <formula>ISBLANK(I104)</formula>
    </cfRule>
  </conditionalFormatting>
  <conditionalFormatting sqref="I104">
    <cfRule type="cellIs" dxfId="278" priority="534" stopIfTrue="1" operator="equal">
      <formula>"No grades yet"</formula>
    </cfRule>
  </conditionalFormatting>
  <conditionalFormatting sqref="I104">
    <cfRule type="cellIs" dxfId="277" priority="535" stopIfTrue="1" operator="greaterThanOrEqual">
      <formula>70</formula>
    </cfRule>
  </conditionalFormatting>
  <conditionalFormatting sqref="I104">
    <cfRule type="cellIs" dxfId="276" priority="536" stopIfTrue="1" operator="between">
      <formula>60</formula>
      <formula>69.999</formula>
    </cfRule>
  </conditionalFormatting>
  <conditionalFormatting sqref="I104">
    <cfRule type="cellIs" dxfId="275" priority="537" stopIfTrue="1" operator="between">
      <formula>50</formula>
      <formula>59.999</formula>
    </cfRule>
  </conditionalFormatting>
  <conditionalFormatting sqref="I104">
    <cfRule type="cellIs" dxfId="274" priority="538" stopIfTrue="1" operator="between">
      <formula>40</formula>
      <formula>49.999</formula>
    </cfRule>
  </conditionalFormatting>
  <conditionalFormatting sqref="I104">
    <cfRule type="cellIs" dxfId="273" priority="539" stopIfTrue="1" operator="lessThan">
      <formula>40</formula>
    </cfRule>
  </conditionalFormatting>
  <conditionalFormatting sqref="L104">
    <cfRule type="expression" dxfId="272" priority="540" stopIfTrue="1">
      <formula>ISBLANK(L104)</formula>
    </cfRule>
  </conditionalFormatting>
  <conditionalFormatting sqref="L104">
    <cfRule type="cellIs" dxfId="271" priority="541" stopIfTrue="1" operator="equal">
      <formula>"No grades yet"</formula>
    </cfRule>
  </conditionalFormatting>
  <conditionalFormatting sqref="L104">
    <cfRule type="cellIs" dxfId="270" priority="542" stopIfTrue="1" operator="greaterThanOrEqual">
      <formula>70</formula>
    </cfRule>
  </conditionalFormatting>
  <conditionalFormatting sqref="L104">
    <cfRule type="cellIs" dxfId="269" priority="543" stopIfTrue="1" operator="between">
      <formula>60</formula>
      <formula>69.999</formula>
    </cfRule>
  </conditionalFormatting>
  <conditionalFormatting sqref="L104">
    <cfRule type="cellIs" dxfId="268" priority="544" stopIfTrue="1" operator="between">
      <formula>50</formula>
      <formula>59.999</formula>
    </cfRule>
  </conditionalFormatting>
  <conditionalFormatting sqref="L104">
    <cfRule type="cellIs" dxfId="267" priority="545" stopIfTrue="1" operator="between">
      <formula>40</formula>
      <formula>49.999</formula>
    </cfRule>
  </conditionalFormatting>
  <conditionalFormatting sqref="L104">
    <cfRule type="cellIs" dxfId="266" priority="546" stopIfTrue="1" operator="lessThan">
      <formula>40</formula>
    </cfRule>
  </conditionalFormatting>
  <conditionalFormatting sqref="I105">
    <cfRule type="expression" dxfId="265" priority="547" stopIfTrue="1">
      <formula>ISBLANK(I105)</formula>
    </cfRule>
  </conditionalFormatting>
  <conditionalFormatting sqref="I105">
    <cfRule type="cellIs" dxfId="264" priority="548" stopIfTrue="1" operator="equal">
      <formula>"No grades yet"</formula>
    </cfRule>
  </conditionalFormatting>
  <conditionalFormatting sqref="I105">
    <cfRule type="cellIs" dxfId="263" priority="549" stopIfTrue="1" operator="greaterThanOrEqual">
      <formula>70</formula>
    </cfRule>
  </conditionalFormatting>
  <conditionalFormatting sqref="I105">
    <cfRule type="cellIs" dxfId="262" priority="550" stopIfTrue="1" operator="between">
      <formula>60</formula>
      <formula>69.999</formula>
    </cfRule>
  </conditionalFormatting>
  <conditionalFormatting sqref="I105">
    <cfRule type="cellIs" dxfId="261" priority="551" stopIfTrue="1" operator="between">
      <formula>50</formula>
      <formula>59.999</formula>
    </cfRule>
  </conditionalFormatting>
  <conditionalFormatting sqref="I105">
    <cfRule type="cellIs" dxfId="260" priority="552" stopIfTrue="1" operator="between">
      <formula>40</formula>
      <formula>49.999</formula>
    </cfRule>
  </conditionalFormatting>
  <conditionalFormatting sqref="I105">
    <cfRule type="cellIs" dxfId="259" priority="553" stopIfTrue="1" operator="lessThan">
      <formula>40</formula>
    </cfRule>
  </conditionalFormatting>
  <conditionalFormatting sqref="L105">
    <cfRule type="expression" dxfId="258" priority="554" stopIfTrue="1">
      <formula>ISBLANK(L105)</formula>
    </cfRule>
  </conditionalFormatting>
  <conditionalFormatting sqref="L105">
    <cfRule type="cellIs" dxfId="257" priority="555" stopIfTrue="1" operator="equal">
      <formula>"No grades yet"</formula>
    </cfRule>
  </conditionalFormatting>
  <conditionalFormatting sqref="L105">
    <cfRule type="cellIs" dxfId="256" priority="556" stopIfTrue="1" operator="greaterThanOrEqual">
      <formula>70</formula>
    </cfRule>
  </conditionalFormatting>
  <conditionalFormatting sqref="L105">
    <cfRule type="cellIs" dxfId="255" priority="557" stopIfTrue="1" operator="between">
      <formula>60</formula>
      <formula>69.999</formula>
    </cfRule>
  </conditionalFormatting>
  <conditionalFormatting sqref="L105">
    <cfRule type="cellIs" dxfId="254" priority="558" stopIfTrue="1" operator="between">
      <formula>50</formula>
      <formula>59.999</formula>
    </cfRule>
  </conditionalFormatting>
  <conditionalFormatting sqref="L105">
    <cfRule type="cellIs" dxfId="253" priority="559" stopIfTrue="1" operator="between">
      <formula>40</formula>
      <formula>49.999</formula>
    </cfRule>
  </conditionalFormatting>
  <conditionalFormatting sqref="L105">
    <cfRule type="cellIs" dxfId="252" priority="560" stopIfTrue="1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:P19"/>
  <sheetViews>
    <sheetView topLeftCell="E1" zoomScale="71" workbookViewId="0">
      <selection activeCell="F16" sqref="F16"/>
    </sheetView>
  </sheetViews>
  <sheetFormatPr defaultRowHeight="13.2" x14ac:dyDescent="0.25"/>
  <cols>
    <col min="1" max="1" width="12.33203125" customWidth="1"/>
    <col min="2" max="2" width="6.77734375" customWidth="1"/>
    <col min="3" max="3" width="8.109375" customWidth="1"/>
    <col min="4" max="4" width="11.88671875" customWidth="1"/>
    <col min="5" max="5" width="12.109375" customWidth="1"/>
    <col min="6" max="6" width="25.77734375" customWidth="1"/>
    <col min="7" max="7" width="9.88671875" customWidth="1"/>
    <col min="8" max="8" width="9.77734375" customWidth="1"/>
    <col min="9" max="12" width="25.77734375" customWidth="1"/>
    <col min="13" max="16" width="25.77734375" hidden="1" customWidth="1"/>
  </cols>
  <sheetData>
    <row r="1" spans="1:16" ht="13.8" thickBot="1" x14ac:dyDescent="0.3">
      <c r="A1" s="1" t="s">
        <v>66</v>
      </c>
    </row>
    <row r="2" spans="1:16" ht="14.4" thickTop="1" thickBot="1" x14ac:dyDescent="0.3">
      <c r="A2" s="40" t="s">
        <v>67</v>
      </c>
      <c r="B2" s="41" t="s">
        <v>3</v>
      </c>
      <c r="C2" s="41" t="s">
        <v>0</v>
      </c>
      <c r="D2" s="41" t="s">
        <v>93</v>
      </c>
      <c r="E2" s="41" t="s">
        <v>94</v>
      </c>
      <c r="F2" s="226" t="s">
        <v>232</v>
      </c>
      <c r="G2" s="226"/>
      <c r="H2" s="226"/>
      <c r="I2" s="41" t="s">
        <v>4</v>
      </c>
      <c r="J2" s="41" t="s">
        <v>5</v>
      </c>
      <c r="K2" s="41" t="s">
        <v>6</v>
      </c>
      <c r="L2" s="41" t="s">
        <v>7</v>
      </c>
      <c r="M2" s="41" t="s">
        <v>201</v>
      </c>
      <c r="N2" s="41" t="s">
        <v>9</v>
      </c>
      <c r="O2" s="41" t="s">
        <v>202</v>
      </c>
      <c r="P2" s="42" t="s">
        <v>203</v>
      </c>
    </row>
    <row r="3" spans="1:16" ht="13.8" thickTop="1" x14ac:dyDescent="0.25"/>
    <row r="9" spans="1:16" ht="13.8" thickBot="1" x14ac:dyDescent="0.3">
      <c r="A9" s="221" t="s">
        <v>96</v>
      </c>
      <c r="B9" s="222"/>
    </row>
    <row r="10" spans="1:16" ht="14.4" thickTop="1" thickBot="1" x14ac:dyDescent="0.3">
      <c r="A10" s="40" t="s">
        <v>67</v>
      </c>
      <c r="B10" s="41" t="s">
        <v>3</v>
      </c>
      <c r="C10" s="41" t="s">
        <v>0</v>
      </c>
      <c r="D10" s="41" t="s">
        <v>93</v>
      </c>
      <c r="E10" s="41" t="s">
        <v>94</v>
      </c>
      <c r="F10" s="226" t="s">
        <v>232</v>
      </c>
      <c r="G10" s="226"/>
      <c r="H10" s="226"/>
      <c r="I10" s="41" t="s">
        <v>4</v>
      </c>
      <c r="J10" s="41" t="s">
        <v>5</v>
      </c>
      <c r="K10" s="41" t="s">
        <v>6</v>
      </c>
      <c r="L10" s="41" t="s">
        <v>7</v>
      </c>
      <c r="M10" s="41" t="s">
        <v>201</v>
      </c>
      <c r="N10" s="41" t="s">
        <v>9</v>
      </c>
      <c r="O10" s="41" t="s">
        <v>202</v>
      </c>
      <c r="P10" s="42" t="s">
        <v>203</v>
      </c>
    </row>
    <row r="11" spans="1:16" ht="13.8" thickTop="1" x14ac:dyDescent="0.25"/>
    <row r="17" spans="1:16" ht="13.8" thickBot="1" x14ac:dyDescent="0.3">
      <c r="A17" s="165" t="s">
        <v>391</v>
      </c>
    </row>
    <row r="18" spans="1:16" ht="14.4" thickTop="1" thickBot="1" x14ac:dyDescent="0.3">
      <c r="A18" s="40" t="s">
        <v>67</v>
      </c>
      <c r="B18" s="41" t="s">
        <v>3</v>
      </c>
      <c r="C18" s="41" t="s">
        <v>0</v>
      </c>
      <c r="D18" s="41" t="s">
        <v>93</v>
      </c>
      <c r="E18" s="41" t="s">
        <v>94</v>
      </c>
      <c r="F18" s="226" t="s">
        <v>232</v>
      </c>
      <c r="G18" s="226"/>
      <c r="H18" s="226"/>
      <c r="I18" s="41" t="s">
        <v>4</v>
      </c>
      <c r="J18" s="41" t="s">
        <v>5</v>
      </c>
      <c r="K18" s="41" t="s">
        <v>6</v>
      </c>
      <c r="L18" s="41" t="s">
        <v>7</v>
      </c>
      <c r="M18" s="41" t="s">
        <v>201</v>
      </c>
      <c r="N18" s="41" t="s">
        <v>9</v>
      </c>
      <c r="O18" s="41" t="s">
        <v>202</v>
      </c>
      <c r="P18" s="42" t="s">
        <v>203</v>
      </c>
    </row>
    <row r="19" spans="1:16" ht="13.8" thickTop="1" x14ac:dyDescent="0.25"/>
  </sheetData>
  <mergeCells count="4">
    <mergeCell ref="A9:B9"/>
    <mergeCell ref="F2:H2"/>
    <mergeCell ref="F10:H10"/>
    <mergeCell ref="F18:H1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44367-3AC6-496E-AE46-BDD2FA85413D}">
  <sheetPr codeName="Sheet10"/>
  <dimension ref="A1:O23"/>
  <sheetViews>
    <sheetView zoomScale="75" workbookViewId="0">
      <selection activeCell="F16" sqref="F16"/>
    </sheetView>
  </sheetViews>
  <sheetFormatPr defaultRowHeight="13.2" x14ac:dyDescent="0.25"/>
  <cols>
    <col min="1" max="1" width="10.77734375" bestFit="1" customWidth="1"/>
    <col min="2" max="2" width="32.33203125" customWidth="1"/>
    <col min="3" max="3" width="7.88671875" customWidth="1"/>
    <col min="4" max="4" width="14.5546875" customWidth="1"/>
    <col min="5" max="5" width="22.21875" bestFit="1" customWidth="1"/>
    <col min="6" max="6" width="4.88671875" bestFit="1" customWidth="1"/>
    <col min="7" max="7" width="25.88671875" bestFit="1" customWidth="1"/>
    <col min="9" max="9" width="8.88671875" hidden="1" customWidth="1"/>
    <col min="10" max="10" width="10.6640625" hidden="1" customWidth="1"/>
    <col min="11" max="11" width="13" bestFit="1" customWidth="1"/>
    <col min="12" max="12" width="14.6640625" bestFit="1" customWidth="1"/>
    <col min="13" max="14" width="14.77734375" bestFit="1" customWidth="1"/>
    <col min="15" max="15" width="15.109375" bestFit="1" customWidth="1"/>
  </cols>
  <sheetData>
    <row r="1" spans="1:15" ht="27.6" thickTop="1" thickBot="1" x14ac:dyDescent="0.3">
      <c r="A1" s="70" t="s">
        <v>67</v>
      </c>
      <c r="B1" s="71" t="s">
        <v>3</v>
      </c>
      <c r="C1" s="71" t="s">
        <v>0</v>
      </c>
      <c r="D1" s="71" t="s">
        <v>93</v>
      </c>
      <c r="E1" s="301" t="s">
        <v>232</v>
      </c>
      <c r="F1" s="301"/>
      <c r="G1" s="301"/>
      <c r="H1" s="71" t="s">
        <v>4</v>
      </c>
      <c r="I1" s="71" t="s">
        <v>5</v>
      </c>
      <c r="J1" s="71" t="s">
        <v>6</v>
      </c>
      <c r="K1" s="71" t="s">
        <v>7</v>
      </c>
      <c r="L1" s="71" t="s">
        <v>201</v>
      </c>
      <c r="M1" s="71" t="s">
        <v>9</v>
      </c>
      <c r="N1" s="71" t="s">
        <v>202</v>
      </c>
      <c r="O1" s="72" t="s">
        <v>203</v>
      </c>
    </row>
    <row r="2" spans="1:15" ht="13.8" thickTop="1" x14ac:dyDescent="0.25">
      <c r="A2" s="284" t="s">
        <v>156</v>
      </c>
      <c r="B2" s="285" t="s">
        <v>157</v>
      </c>
      <c r="C2" s="286">
        <v>10</v>
      </c>
      <c r="D2" s="288">
        <v>0.4</v>
      </c>
      <c r="E2" s="68" t="s">
        <v>158</v>
      </c>
      <c r="F2" s="75">
        <v>0.6</v>
      </c>
      <c r="G2" s="68" t="s">
        <v>159</v>
      </c>
      <c r="H2" s="20"/>
      <c r="I2" s="166">
        <f>IF(F2=1, H2, SUMPRODUCT(H2:H5, F2:F5))</f>
        <v>0</v>
      </c>
      <c r="J2" s="166">
        <f>SUMIF(H2:H5, "&lt;&gt;", F2:F5) / SUMIF(F2:F5, "&lt;&gt;")</f>
        <v>0</v>
      </c>
      <c r="K2" s="166" t="str">
        <f>IFERROR(I2/J2, "No grades yet")</f>
        <v>No grades yet</v>
      </c>
      <c r="L2" s="166">
        <f>IFERROR(IF(J2 = 1, "Completed module", IF(((70 - I2) / (1 - J2)) &gt; 100, "Unattainable", IF(((70 - I2) / (1 - J2)) &lt; 0, "Already attained", ((70 - I2) / (1 - J2))))), "-")</f>
        <v>70</v>
      </c>
      <c r="M2" s="166">
        <f>IFERROR(IF(J2 = 1, "Completed module", IF(((60 - I2) / (1 - J2)) &gt; 100, "Unattainable", IF(((60 - I2) / (1 - J2)) &lt; 0, "Already attained", ((60 - I2) / (1 - J2))))), "-")</f>
        <v>60</v>
      </c>
      <c r="N2" s="166">
        <f>IFERROR(IF(J2 = 1, "Completed module", IF(((50 - I2) / (1 - J2)) &gt; 100, "Unattainable", IF(((50 - I2) / (1 - J2)) &lt; 0, "Already attained", ((50 - I2) / (1 - J2))))), "-")</f>
        <v>50</v>
      </c>
      <c r="O2" s="189">
        <f>IFERROR(IF(J2 = 1, "Completed module", IF(((40 - I2) / (1 - J2)) &gt; 100, "Unattainable", IF(((40 - I2) / (1 - J2)) &lt; 0, "Already attained", ((40 - I2) / (1 - J2))))), "-")</f>
        <v>40</v>
      </c>
    </row>
    <row r="3" spans="1:15" x14ac:dyDescent="0.25">
      <c r="A3" s="279"/>
      <c r="B3" s="280"/>
      <c r="C3" s="281"/>
      <c r="D3" s="283"/>
      <c r="E3" s="66" t="s">
        <v>233</v>
      </c>
      <c r="F3" s="76">
        <v>0.3</v>
      </c>
      <c r="G3" s="66" t="s">
        <v>160</v>
      </c>
      <c r="H3" s="14"/>
      <c r="I3" s="167"/>
      <c r="J3" s="167"/>
      <c r="K3" s="167"/>
      <c r="L3" s="167"/>
      <c r="M3" s="167"/>
      <c r="N3" s="167"/>
      <c r="O3" s="191"/>
    </row>
    <row r="4" spans="1:15" x14ac:dyDescent="0.25">
      <c r="A4" s="279"/>
      <c r="B4" s="280"/>
      <c r="C4" s="281"/>
      <c r="D4" s="283"/>
      <c r="E4" s="66" t="s">
        <v>196</v>
      </c>
      <c r="F4" s="76">
        <v>0</v>
      </c>
      <c r="G4" s="66" t="s">
        <v>161</v>
      </c>
      <c r="H4" s="14"/>
      <c r="I4" s="167"/>
      <c r="J4" s="167"/>
      <c r="K4" s="167"/>
      <c r="L4" s="167"/>
      <c r="M4" s="167"/>
      <c r="N4" s="167"/>
      <c r="O4" s="191"/>
    </row>
    <row r="5" spans="1:15" ht="13.8" thickBot="1" x14ac:dyDescent="0.3">
      <c r="A5" s="265"/>
      <c r="B5" s="267"/>
      <c r="C5" s="269"/>
      <c r="D5" s="273"/>
      <c r="E5" s="73" t="s">
        <v>196</v>
      </c>
      <c r="F5" s="77">
        <v>0.1</v>
      </c>
      <c r="G5" s="73" t="s">
        <v>162</v>
      </c>
      <c r="H5" s="16"/>
      <c r="I5" s="168"/>
      <c r="J5" s="168"/>
      <c r="K5" s="168"/>
      <c r="L5" s="168"/>
      <c r="M5" s="168"/>
      <c r="N5" s="168"/>
      <c r="O5" s="190"/>
    </row>
    <row r="6" spans="1:15" ht="13.8" thickTop="1" x14ac:dyDescent="0.25">
      <c r="A6" s="284" t="s">
        <v>204</v>
      </c>
      <c r="B6" s="285" t="s">
        <v>205</v>
      </c>
      <c r="C6" s="286">
        <v>5</v>
      </c>
      <c r="D6" s="288">
        <v>0.4</v>
      </c>
      <c r="E6" s="68" t="s">
        <v>206</v>
      </c>
      <c r="F6" s="75">
        <v>0.4</v>
      </c>
      <c r="G6" s="68" t="s">
        <v>206</v>
      </c>
      <c r="H6" s="20"/>
      <c r="I6" s="166">
        <f>IF(F6=1, H6, SUMPRODUCT(H6:H9, F6:F9))</f>
        <v>0</v>
      </c>
      <c r="J6" s="166">
        <f>SUMIF(H6:H9, "&lt;&gt;", F6:F9) / SUMIF(F6:F9, "&lt;&gt;")</f>
        <v>0</v>
      </c>
      <c r="K6" s="166" t="str">
        <f>IFERROR(I6/J6, "No grades yet")</f>
        <v>No grades yet</v>
      </c>
      <c r="L6" s="166">
        <f>IFERROR(IF(J6 = 1, "Completed module", IF(((70 - I6) / (1 - J6)) &gt; 100, "Unattainable", IF(((70 - I6) / (1 - J6)) &lt; 0, "Already attained", ((70 - I6) / (1 - J6))))), "-")</f>
        <v>70</v>
      </c>
      <c r="M6" s="166">
        <f>IFERROR(IF(J6 = 1, "Completed module", IF(((60 - I6) / (1 - J6)) &gt; 100, "Unattainable", IF(((60 - I6) / (1 - J6)) &lt; 0, "Already attained", ((60 - I6) / (1 - J6))))), "-")</f>
        <v>60</v>
      </c>
      <c r="N6" s="166">
        <f>IFERROR(IF(J6 = 1, "Completed module", IF(((50 - I6) / (1 - J6)) &gt; 100, "Unattainable", IF(((50 - I6) / (1 - J6)) &lt; 0, "Already attained", ((50 - I6) / (1 - J6))))), "-")</f>
        <v>50</v>
      </c>
      <c r="O6" s="189">
        <f>IFERROR(IF(J6 = 1, "Completed module", IF(((40 - I6) / (1 - J6)) &gt; 100, "Unattainable", IF(((40 - I6) / (1 - J6)) &lt; 0, "Already attained", ((40 - I6) / (1 - J6))))), "-")</f>
        <v>40</v>
      </c>
    </row>
    <row r="7" spans="1:15" x14ac:dyDescent="0.25">
      <c r="A7" s="279"/>
      <c r="B7" s="280"/>
      <c r="C7" s="281"/>
      <c r="D7" s="283"/>
      <c r="E7" s="66" t="s">
        <v>207</v>
      </c>
      <c r="F7" s="76">
        <v>0.6</v>
      </c>
      <c r="G7" s="66" t="s">
        <v>208</v>
      </c>
      <c r="H7" s="14"/>
      <c r="I7" s="167"/>
      <c r="J7" s="167"/>
      <c r="K7" s="167"/>
      <c r="L7" s="167"/>
      <c r="M7" s="167"/>
      <c r="N7" s="167"/>
      <c r="O7" s="191"/>
    </row>
    <row r="8" spans="1:15" x14ac:dyDescent="0.25">
      <c r="A8" s="279"/>
      <c r="B8" s="280"/>
      <c r="C8" s="281"/>
      <c r="D8" s="283"/>
      <c r="E8" s="66" t="s">
        <v>209</v>
      </c>
      <c r="F8" s="76">
        <v>0</v>
      </c>
      <c r="G8" s="66" t="s">
        <v>210</v>
      </c>
      <c r="H8" s="14"/>
      <c r="I8" s="167"/>
      <c r="J8" s="167"/>
      <c r="K8" s="167"/>
      <c r="L8" s="167"/>
      <c r="M8" s="167"/>
      <c r="N8" s="167"/>
      <c r="O8" s="191"/>
    </row>
    <row r="9" spans="1:15" ht="13.8" thickBot="1" x14ac:dyDescent="0.3">
      <c r="A9" s="265"/>
      <c r="B9" s="267"/>
      <c r="C9" s="269"/>
      <c r="D9" s="273"/>
      <c r="E9" s="73" t="s">
        <v>211</v>
      </c>
      <c r="F9" s="77">
        <v>0</v>
      </c>
      <c r="G9" s="73" t="s">
        <v>212</v>
      </c>
      <c r="H9" s="16"/>
      <c r="I9" s="168"/>
      <c r="J9" s="168"/>
      <c r="K9" s="168"/>
      <c r="L9" s="168"/>
      <c r="M9" s="168"/>
      <c r="N9" s="168"/>
      <c r="O9" s="190"/>
    </row>
    <row r="10" spans="1:15" ht="13.8" thickTop="1" x14ac:dyDescent="0.25">
      <c r="A10" s="284" t="s">
        <v>213</v>
      </c>
      <c r="B10" s="285" t="s">
        <v>214</v>
      </c>
      <c r="C10" s="286">
        <v>10</v>
      </c>
      <c r="D10" s="288">
        <v>0.4</v>
      </c>
      <c r="E10" s="68" t="s">
        <v>196</v>
      </c>
      <c r="F10" s="69">
        <v>0.1</v>
      </c>
      <c r="G10" s="68" t="s">
        <v>215</v>
      </c>
      <c r="H10" s="20"/>
      <c r="I10" s="166">
        <f>IF(F10=1, H10, SUMPRODUCT(H10:H12, F10:F12))</f>
        <v>0</v>
      </c>
      <c r="J10" s="166">
        <f>SUMIF(H10:H12, "&lt;&gt;", F10:F12) / SUMIF(F10:F12, "&lt;&gt;")</f>
        <v>0</v>
      </c>
      <c r="K10" s="166" t="str">
        <f>IFERROR(I10/J10, "No grades yet")</f>
        <v>No grades yet</v>
      </c>
      <c r="L10" s="166">
        <f>IFERROR(IF(J10 = 1, "Completed module", IF(((70 - I10) / (1 - J10)) &gt; 100, "Unattainable", IF(((70 - I10) / (1 - J10)) &lt; 0, "Already attained", ((70 - I10) / (1 - J10))))), "-")</f>
        <v>70</v>
      </c>
      <c r="M10" s="166">
        <f>IFERROR(IF(J10 = 1, "Completed module", IF(((60 - I10) / (1 - J10)) &gt; 100, "Unattainable", IF(((60 - I10) / (1 - J10)) &lt; 0, "Already attained", ((60 - I10) / (1 - J10))))), "-")</f>
        <v>60</v>
      </c>
      <c r="N10" s="166">
        <f>IFERROR(IF(J10 = 1, "Completed module", IF(((50 - I10) / (1 - J10)) &gt; 100, "Unattainable", IF(((50 - I10) / (1 - J10)) &lt; 0, "Already attained", ((50 - I10) / (1 - J10))))), "-")</f>
        <v>50</v>
      </c>
      <c r="O10" s="189">
        <f>IFERROR(IF(J10 = 1, "Completed module", IF(((40 - I10) / (1 - J10)) &gt; 100, "Unattainable", IF(((40 - I10) / (1 - J10)) &lt; 0, "Already attained", ((40 - I10) / (1 - J10))))), "-")</f>
        <v>40</v>
      </c>
    </row>
    <row r="11" spans="1:15" x14ac:dyDescent="0.25">
      <c r="A11" s="279"/>
      <c r="B11" s="280"/>
      <c r="C11" s="281"/>
      <c r="D11" s="283"/>
      <c r="E11" s="66" t="s">
        <v>196</v>
      </c>
      <c r="F11" s="67">
        <v>0.1</v>
      </c>
      <c r="G11" s="66" t="s">
        <v>216</v>
      </c>
      <c r="H11" s="14"/>
      <c r="I11" s="167"/>
      <c r="J11" s="167"/>
      <c r="K11" s="167"/>
      <c r="L11" s="167"/>
      <c r="M11" s="167"/>
      <c r="N11" s="167"/>
      <c r="O11" s="191"/>
    </row>
    <row r="12" spans="1:15" ht="13.8" thickBot="1" x14ac:dyDescent="0.3">
      <c r="A12" s="265"/>
      <c r="B12" s="267"/>
      <c r="C12" s="269"/>
      <c r="D12" s="273"/>
      <c r="E12" s="73" t="s">
        <v>158</v>
      </c>
      <c r="F12" s="74">
        <v>0.8</v>
      </c>
      <c r="G12" s="73" t="s">
        <v>217</v>
      </c>
      <c r="H12" s="16"/>
      <c r="I12" s="168"/>
      <c r="J12" s="168"/>
      <c r="K12" s="168"/>
      <c r="L12" s="168"/>
      <c r="M12" s="168"/>
      <c r="N12" s="168"/>
      <c r="O12" s="190"/>
    </row>
    <row r="13" spans="1:15" ht="27" thickTop="1" x14ac:dyDescent="0.25">
      <c r="A13" s="284" t="s">
        <v>228</v>
      </c>
      <c r="B13" s="285" t="s">
        <v>229</v>
      </c>
      <c r="C13" s="286">
        <v>10</v>
      </c>
      <c r="D13" s="288">
        <v>0.4</v>
      </c>
      <c r="E13" s="68" t="s">
        <v>158</v>
      </c>
      <c r="F13" s="69">
        <v>0.9</v>
      </c>
      <c r="G13" s="68" t="s">
        <v>230</v>
      </c>
      <c r="H13" s="20"/>
      <c r="I13" s="166">
        <f>IF(F13=1, H13, SUMPRODUCT(H13:H14, F13:F14))</f>
        <v>0</v>
      </c>
      <c r="J13" s="166">
        <f>SUMIF(H13:H14, "&lt;&gt;", F13:F14) / SUMIF(F13:F14, "&lt;&gt;")</f>
        <v>0</v>
      </c>
      <c r="K13" s="166" t="str">
        <f>IFERROR(I13/J13, "No grades yet")</f>
        <v>No grades yet</v>
      </c>
      <c r="L13" s="166">
        <f>IFERROR(IF(J13 = 1, "Completed module", IF(((70 - I13) / (1 - J13)) &gt; 100, "Unattainable", IF(((70 - I13) / (1 - J13)) &lt; 0, "Already attained", ((70 - I13) / (1 - J13))))), "-")</f>
        <v>70</v>
      </c>
      <c r="M13" s="166">
        <f>IFERROR(IF(J13 = 1, "Completed module", IF(((60 - I13) / (1 - J13)) &gt; 100, "Unattainable", IF(((60 - I13) / (1 - J13)) &lt; 0, "Already attained", ((60 - I13) / (1 - J13))))), "-")</f>
        <v>60</v>
      </c>
      <c r="N13" s="166">
        <f>IFERROR(IF(J13 = 1, "Completed module", IF(((50 - I13) / (1 - J13)) &gt; 100, "Unattainable", IF(((50 - I13) / (1 - J13)) &lt; 0, "Already attained", ((50 - I13) / (1 - J13))))), "-")</f>
        <v>50</v>
      </c>
      <c r="O13" s="189">
        <f>IFERROR(IF(J13 = 1, "Completed module", IF(((40 - I13) / (1 - J13)) &gt; 100, "Unattainable", IF(((40 - I13) / (1 - J13)) &lt; 0, "Already attained", ((40 - I13) / (1 - J13))))), "-")</f>
        <v>40</v>
      </c>
    </row>
    <row r="14" spans="1:15" ht="13.8" thickBot="1" x14ac:dyDescent="0.3">
      <c r="A14" s="265"/>
      <c r="B14" s="267"/>
      <c r="C14" s="269"/>
      <c r="D14" s="273"/>
      <c r="E14" s="73" t="s">
        <v>207</v>
      </c>
      <c r="F14" s="74">
        <v>0.1</v>
      </c>
      <c r="G14" s="73" t="s">
        <v>231</v>
      </c>
      <c r="H14" s="16"/>
      <c r="I14" s="168"/>
      <c r="J14" s="168"/>
      <c r="K14" s="168"/>
      <c r="L14" s="168"/>
      <c r="M14" s="168"/>
      <c r="N14" s="168"/>
      <c r="O14" s="190"/>
    </row>
    <row r="15" spans="1:15" ht="13.8" thickTop="1" x14ac:dyDescent="0.25">
      <c r="A15" s="284" t="s">
        <v>234</v>
      </c>
      <c r="B15" s="285" t="s">
        <v>235</v>
      </c>
      <c r="C15" s="286">
        <v>10</v>
      </c>
      <c r="D15" s="288">
        <v>0.4</v>
      </c>
      <c r="E15" s="68" t="s">
        <v>158</v>
      </c>
      <c r="F15" s="69">
        <v>0.6</v>
      </c>
      <c r="G15" s="68" t="s">
        <v>236</v>
      </c>
      <c r="H15" s="20"/>
      <c r="I15" s="166">
        <f>IF(F15=1, H15, SUMPRODUCT(H15:H17, F15:F17))</f>
        <v>0</v>
      </c>
      <c r="J15" s="166">
        <f>SUMIF(H15:H17, "&lt;&gt;", F15:F17) / SUMIF(F15:F17, "&lt;&gt;")</f>
        <v>0</v>
      </c>
      <c r="K15" s="166" t="str">
        <f>IFERROR(I15/J15, "No grades yet")</f>
        <v>No grades yet</v>
      </c>
      <c r="L15" s="166">
        <f>IFERROR(IF(J15 = 1, "Completed module", IF(((70 - I15) / (1 - J15)) &gt; 100, "Unattainable", IF(((70 - I15) / (1 - J15)) &lt; 0, "Already attained", ((70 - I15) / (1 - J15))))), "-")</f>
        <v>70</v>
      </c>
      <c r="M15" s="166">
        <f>IFERROR(IF(J15 = 1, "Completed module", IF(((60 - I15) / (1 - J15)) &gt; 100, "Unattainable", IF(((60 - I15) / (1 - J15)) &lt; 0, "Already attained", ((60 - I15) / (1 - J15))))), "-")</f>
        <v>60</v>
      </c>
      <c r="N15" s="166">
        <f>IFERROR(IF(J15 = 1, "Completed module", IF(((50 - I15) / (1 - J15)) &gt; 100, "Unattainable", IF(((50 - I15) / (1 - J15)) &lt; 0, "Already attained", ((50 - I15) / (1 - J15))))), "-")</f>
        <v>50</v>
      </c>
      <c r="O15" s="189">
        <f>IFERROR(IF(J15 = 1, "Completed module", IF(((40 - I15) / (1 - J15)) &gt; 100, "Unattainable", IF(((40 - I15) / (1 - J15)) &lt; 0, "Already attained", ((40 - I15) / (1 - J15))))), "-")</f>
        <v>40</v>
      </c>
    </row>
    <row r="16" spans="1:15" x14ac:dyDescent="0.25">
      <c r="A16" s="279"/>
      <c r="B16" s="280"/>
      <c r="C16" s="281"/>
      <c r="D16" s="283"/>
      <c r="E16" s="66" t="s">
        <v>196</v>
      </c>
      <c r="F16" s="67">
        <v>0.2</v>
      </c>
      <c r="G16" s="66" t="s">
        <v>196</v>
      </c>
      <c r="H16" s="14"/>
      <c r="I16" s="167"/>
      <c r="J16" s="167"/>
      <c r="K16" s="167"/>
      <c r="L16" s="167"/>
      <c r="M16" s="167"/>
      <c r="N16" s="167"/>
      <c r="O16" s="191"/>
    </row>
    <row r="17" spans="1:15" ht="13.8" thickBot="1" x14ac:dyDescent="0.3">
      <c r="A17" s="265"/>
      <c r="B17" s="267"/>
      <c r="C17" s="269"/>
      <c r="D17" s="273"/>
      <c r="E17" s="73" t="s">
        <v>196</v>
      </c>
      <c r="F17" s="74">
        <v>0.2</v>
      </c>
      <c r="G17" s="73" t="s">
        <v>196</v>
      </c>
      <c r="H17" s="16"/>
      <c r="I17" s="168"/>
      <c r="J17" s="168"/>
      <c r="K17" s="168"/>
      <c r="L17" s="168"/>
      <c r="M17" s="168"/>
      <c r="N17" s="168"/>
      <c r="O17" s="190"/>
    </row>
    <row r="18" spans="1:15" ht="13.8" thickTop="1" x14ac:dyDescent="0.25">
      <c r="A18" s="284" t="s">
        <v>237</v>
      </c>
      <c r="B18" s="285" t="s">
        <v>238</v>
      </c>
      <c r="C18" s="286">
        <v>5</v>
      </c>
      <c r="D18" s="288">
        <v>0.4</v>
      </c>
      <c r="E18" s="68" t="s">
        <v>239</v>
      </c>
      <c r="F18" s="69">
        <v>0.6</v>
      </c>
      <c r="G18" s="68" t="s">
        <v>240</v>
      </c>
      <c r="H18" s="20"/>
      <c r="I18" s="166">
        <f>IF(F18=1, H18, SUMPRODUCT(H18:H20, F18:F20))</f>
        <v>0</v>
      </c>
      <c r="J18" s="166">
        <f>SUMIF(H18:H20, "&lt;&gt;", F18:F20) / SUMIF(F18:F20, "&lt;&gt;")</f>
        <v>0</v>
      </c>
      <c r="K18" s="166" t="str">
        <f>IFERROR(I18/J18, "No grades yet")</f>
        <v>No grades yet</v>
      </c>
      <c r="L18" s="166">
        <f>IFERROR(IF(J18 = 1, "Completed module", IF(((70 - I18) / (1 - J18)) &gt; 100, "Unattainable", IF(((70 - I18) / (1 - J18)) &lt; 0, "Already attained", ((70 - I18) / (1 - J18))))), "-")</f>
        <v>70</v>
      </c>
      <c r="M18" s="166">
        <f>IFERROR(IF(J18 = 1, "Completed module", IF(((60 - I18) / (1 - J18)) &gt; 100, "Unattainable", IF(((60 - I18) / (1 - J18)) &lt; 0, "Already attained", ((60 - I18) / (1 - J18))))), "-")</f>
        <v>60</v>
      </c>
      <c r="N18" s="166">
        <f>IFERROR(IF(J18 = 1, "Completed module", IF(((50 - I18) / (1 - J18)) &gt; 100, "Unattainable", IF(((50 - I18) / (1 - J18)) &lt; 0, "Already attained", ((50 - I18) / (1 - J18))))), "-")</f>
        <v>50</v>
      </c>
      <c r="O18" s="189">
        <f>IFERROR(IF(J18 = 1, "Completed module", IF(((40 - I18) / (1 - J18)) &gt; 100, "Unattainable", IF(((40 - I18) / (1 - J18)) &lt; 0, "Already attained", ((40 - I18) / (1 - J18))))), "-")</f>
        <v>40</v>
      </c>
    </row>
    <row r="19" spans="1:15" x14ac:dyDescent="0.25">
      <c r="A19" s="279"/>
      <c r="B19" s="280"/>
      <c r="C19" s="281"/>
      <c r="D19" s="283"/>
      <c r="E19" s="66" t="s">
        <v>241</v>
      </c>
      <c r="F19" s="67">
        <v>0.2</v>
      </c>
      <c r="G19" s="66" t="s">
        <v>242</v>
      </c>
      <c r="H19" s="14"/>
      <c r="I19" s="167"/>
      <c r="J19" s="167"/>
      <c r="K19" s="167"/>
      <c r="L19" s="167"/>
      <c r="M19" s="167"/>
      <c r="N19" s="167"/>
      <c r="O19" s="191"/>
    </row>
    <row r="20" spans="1:15" ht="13.8" thickBot="1" x14ac:dyDescent="0.3">
      <c r="A20" s="265"/>
      <c r="B20" s="267"/>
      <c r="C20" s="269"/>
      <c r="D20" s="273"/>
      <c r="E20" s="73" t="s">
        <v>241</v>
      </c>
      <c r="F20" s="74">
        <v>0.2</v>
      </c>
      <c r="G20" s="73" t="s">
        <v>243</v>
      </c>
      <c r="H20" s="16"/>
      <c r="I20" s="168"/>
      <c r="J20" s="168"/>
      <c r="K20" s="168"/>
      <c r="L20" s="168"/>
      <c r="M20" s="168"/>
      <c r="N20" s="168"/>
      <c r="O20" s="190"/>
    </row>
    <row r="21" spans="1:15" ht="14.4" thickTop="1" thickBot="1" x14ac:dyDescent="0.3">
      <c r="A21" s="87" t="s">
        <v>244</v>
      </c>
      <c r="B21" s="88" t="s">
        <v>245</v>
      </c>
      <c r="C21" s="89">
        <v>5</v>
      </c>
      <c r="D21" s="90">
        <v>0.4</v>
      </c>
      <c r="E21" s="91" t="s">
        <v>246</v>
      </c>
      <c r="F21" s="92"/>
      <c r="G21" s="91"/>
      <c r="H21" s="93"/>
      <c r="I21" s="94" t="e">
        <f>IF(F21=1, H21, SUMPRODUCT(H21:H21, F21:F21))</f>
        <v>#VALUE!</v>
      </c>
      <c r="J21" s="94" t="e">
        <f>SUMIF(H21:H21, "&lt;&gt;", F21:F21) / SUMIF(F21:F21, "&lt;&gt;")</f>
        <v>#DIV/0!</v>
      </c>
      <c r="K21" s="94" t="str">
        <f>IFERROR(I21/J21, "No grades yet")</f>
        <v>No grades yet</v>
      </c>
      <c r="L21" s="94" t="str">
        <f>IFERROR(IF(J21 = 1, "Completed module", IF(((70 - I21) / (1 - J21)) &gt; 100, "Unattainable", IF(((70 - I21) / (1 - J21)) &lt; 0, "Already attained", ((70 - I21) / (1 - J21))))), "-")</f>
        <v>-</v>
      </c>
      <c r="M21" s="94" t="str">
        <f>IFERROR(IF(J21 = 1, "Completed module", IF(((60 - I21) / (1 - J21)) &gt; 100, "Unattainable", IF(((60 - I21) / (1 - J21)) &lt; 0, "Already attained", ((60 - I21) / (1 - J21))))), "-")</f>
        <v>-</v>
      </c>
      <c r="N21" s="94" t="str">
        <f>IFERROR(IF(J21 = 1, "Completed module", IF(((50 - I21) / (1 - J21)) &gt; 100, "Unattainable", IF(((50 - I21) / (1 - J21)) &lt; 0, "Already attained", ((50 - I21) / (1 - J21))))), "-")</f>
        <v>-</v>
      </c>
      <c r="O21" s="95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4.4" thickTop="1" thickBot="1" x14ac:dyDescent="0.3">
      <c r="A22" s="86" t="s">
        <v>247</v>
      </c>
      <c r="B22" s="85" t="s">
        <v>248</v>
      </c>
      <c r="C22" s="78">
        <v>5</v>
      </c>
      <c r="D22" s="79">
        <v>0.4</v>
      </c>
      <c r="E22" s="80" t="s">
        <v>246</v>
      </c>
      <c r="F22" s="81"/>
      <c r="G22" s="80"/>
      <c r="H22" s="82"/>
      <c r="I22" s="83" t="e">
        <f>IF(F22=1, H22, SUMPRODUCT(H22:H22, F22:F22))</f>
        <v>#VALUE!</v>
      </c>
      <c r="J22" s="83" t="e">
        <f>SUMIF(H22:H22, "&lt;&gt;", F22:F22) / SUMIF(F22:F22, "&lt;&gt;")</f>
        <v>#DIV/0!</v>
      </c>
      <c r="K22" s="83" t="str">
        <f>IFERROR(I22/J22, "No grades yet")</f>
        <v>No grades yet</v>
      </c>
      <c r="L22" s="83" t="str">
        <f>IFERROR(IF(J22 = 1, "Completed module", IF(((70 - I22) / (1 - J22)) &gt; 100, "Unattainable", IF(((70 - I22) / (1 - J22)) &lt; 0, "Already attained", ((70 - I22) / (1 - J22))))), "-")</f>
        <v>-</v>
      </c>
      <c r="M22" s="83" t="str">
        <f>IFERROR(IF(J22 = 1, "Completed module", IF(((60 - I22) / (1 - J22)) &gt; 100, "Unattainable", IF(((60 - I22) / (1 - J22)) &lt; 0, "Already attained", ((60 - I22) / (1 - J22))))), "-")</f>
        <v>-</v>
      </c>
      <c r="N22" s="83" t="str">
        <f>IFERROR(IF(J22 = 1, "Completed module", IF(((50 - I22) / (1 - J22)) &gt; 100, "Unattainable", IF(((50 - I22) / (1 - J22)) &lt; 0, "Already attained", ((50 - I22) / (1 - J22))))), "-")</f>
        <v>-</v>
      </c>
      <c r="O22" s="84" t="str">
        <f>IFERROR(IF(J22 = 1, "Completed module", IF(((40 - I22) / (1 - J22)) &gt; 100, "Unattainable", IF(((40 - I22) / (1 - J22)) &lt; 0, "Already attained", ((40 - I22) / (1 - J22))))), "-")</f>
        <v>-</v>
      </c>
    </row>
    <row r="23" spans="1:15" ht="13.8" thickTop="1" x14ac:dyDescent="0.25"/>
  </sheetData>
  <mergeCells count="67">
    <mergeCell ref="A13:A14"/>
    <mergeCell ref="M15:M17"/>
    <mergeCell ref="N15:N17"/>
    <mergeCell ref="O15:O17"/>
    <mergeCell ref="A18:A20"/>
    <mergeCell ref="B18:B20"/>
    <mergeCell ref="C18:C20"/>
    <mergeCell ref="D18:D20"/>
    <mergeCell ref="I18:I20"/>
    <mergeCell ref="J18:J20"/>
    <mergeCell ref="K18:K20"/>
    <mergeCell ref="L18:L20"/>
    <mergeCell ref="M18:M20"/>
    <mergeCell ref="N18:N20"/>
    <mergeCell ref="O18:O20"/>
    <mergeCell ref="O10:O12"/>
    <mergeCell ref="O13:O14"/>
    <mergeCell ref="A15:A17"/>
    <mergeCell ref="B15:B17"/>
    <mergeCell ref="C15:C17"/>
    <mergeCell ref="D15:D17"/>
    <mergeCell ref="I15:I17"/>
    <mergeCell ref="J15:J17"/>
    <mergeCell ref="K15:K17"/>
    <mergeCell ref="L15:L17"/>
    <mergeCell ref="I13:I14"/>
    <mergeCell ref="J13:J14"/>
    <mergeCell ref="K13:K14"/>
    <mergeCell ref="L13:L14"/>
    <mergeCell ref="M13:M14"/>
    <mergeCell ref="N13:N14"/>
    <mergeCell ref="N6:N9"/>
    <mergeCell ref="K10:K12"/>
    <mergeCell ref="L10:L12"/>
    <mergeCell ref="M10:M12"/>
    <mergeCell ref="N10:N12"/>
    <mergeCell ref="J10:J12"/>
    <mergeCell ref="B13:B14"/>
    <mergeCell ref="C13:C14"/>
    <mergeCell ref="D13:D14"/>
    <mergeCell ref="M6:M9"/>
    <mergeCell ref="A10:A12"/>
    <mergeCell ref="B10:B12"/>
    <mergeCell ref="C10:C12"/>
    <mergeCell ref="D10:D12"/>
    <mergeCell ref="I10:I12"/>
    <mergeCell ref="O2:O5"/>
    <mergeCell ref="A6:A9"/>
    <mergeCell ref="B6:B9"/>
    <mergeCell ref="C6:C9"/>
    <mergeCell ref="D6:D9"/>
    <mergeCell ref="I6:I9"/>
    <mergeCell ref="J6:J9"/>
    <mergeCell ref="K6:K9"/>
    <mergeCell ref="L6:L9"/>
    <mergeCell ref="N2:N5"/>
    <mergeCell ref="I2:I5"/>
    <mergeCell ref="J2:J5"/>
    <mergeCell ref="K2:K5"/>
    <mergeCell ref="L2:L5"/>
    <mergeCell ref="M2:M5"/>
    <mergeCell ref="O6:O9"/>
    <mergeCell ref="E1:G1"/>
    <mergeCell ref="A2:A5"/>
    <mergeCell ref="B2:B5"/>
    <mergeCell ref="C2:C5"/>
    <mergeCell ref="D2:D5"/>
  </mergeCells>
  <conditionalFormatting sqref="H2:H5">
    <cfRule type="expression" dxfId="251" priority="1" stopIfTrue="1">
      <formula>ISBLANK(H2)</formula>
    </cfRule>
    <cfRule type="cellIs" dxfId="250" priority="2" stopIfTrue="1" operator="equal">
      <formula>"No grades yet"</formula>
    </cfRule>
    <cfRule type="cellIs" dxfId="249" priority="3" stopIfTrue="1" operator="greaterThanOrEqual">
      <formula>70</formula>
    </cfRule>
    <cfRule type="cellIs" dxfId="248" priority="4" stopIfTrue="1" operator="between">
      <formula>60</formula>
      <formula>69.999</formula>
    </cfRule>
    <cfRule type="cellIs" dxfId="247" priority="5" stopIfTrue="1" operator="between">
      <formula>50</formula>
      <formula>59.999</formula>
    </cfRule>
    <cfRule type="cellIs" dxfId="246" priority="6" stopIfTrue="1" operator="between">
      <formula>40</formula>
      <formula>49.999</formula>
    </cfRule>
    <cfRule type="cellIs" dxfId="245" priority="7" stopIfTrue="1" operator="lessThan">
      <formula>40</formula>
    </cfRule>
  </conditionalFormatting>
  <conditionalFormatting sqref="K2:K5">
    <cfRule type="expression" dxfId="244" priority="8" stopIfTrue="1">
      <formula>ISBLANK(K2)</formula>
    </cfRule>
    <cfRule type="cellIs" dxfId="243" priority="9" stopIfTrue="1" operator="equal">
      <formula>"No grades yet"</formula>
    </cfRule>
    <cfRule type="cellIs" dxfId="242" priority="10" stopIfTrue="1" operator="greaterThanOrEqual">
      <formula>70</formula>
    </cfRule>
    <cfRule type="cellIs" dxfId="241" priority="11" stopIfTrue="1" operator="between">
      <formula>60</formula>
      <formula>69.999</formula>
    </cfRule>
    <cfRule type="cellIs" dxfId="240" priority="12" stopIfTrue="1" operator="between">
      <formula>50</formula>
      <formula>59.999</formula>
    </cfRule>
    <cfRule type="cellIs" dxfId="239" priority="13" stopIfTrue="1" operator="between">
      <formula>40</formula>
      <formula>49.999</formula>
    </cfRule>
    <cfRule type="cellIs" dxfId="238" priority="14" stopIfTrue="1" operator="lessThan">
      <formula>40</formula>
    </cfRule>
  </conditionalFormatting>
  <conditionalFormatting sqref="H6:H9">
    <cfRule type="expression" dxfId="237" priority="15" stopIfTrue="1">
      <formula>ISBLANK(H6)</formula>
    </cfRule>
    <cfRule type="cellIs" dxfId="236" priority="16" stopIfTrue="1" operator="equal">
      <formula>"No grades yet"</formula>
    </cfRule>
    <cfRule type="cellIs" dxfId="235" priority="17" stopIfTrue="1" operator="greaterThanOrEqual">
      <formula>70</formula>
    </cfRule>
    <cfRule type="cellIs" dxfId="234" priority="18" stopIfTrue="1" operator="between">
      <formula>60</formula>
      <formula>69.999</formula>
    </cfRule>
    <cfRule type="cellIs" dxfId="233" priority="19" stopIfTrue="1" operator="between">
      <formula>50</formula>
      <formula>59.999</formula>
    </cfRule>
    <cfRule type="cellIs" dxfId="232" priority="20" stopIfTrue="1" operator="between">
      <formula>40</formula>
      <formula>49.999</formula>
    </cfRule>
    <cfRule type="cellIs" dxfId="231" priority="21" stopIfTrue="1" operator="lessThan">
      <formula>40</formula>
    </cfRule>
  </conditionalFormatting>
  <conditionalFormatting sqref="K6:K9">
    <cfRule type="expression" dxfId="230" priority="22" stopIfTrue="1">
      <formula>ISBLANK(K6)</formula>
    </cfRule>
    <cfRule type="cellIs" dxfId="229" priority="23" stopIfTrue="1" operator="equal">
      <formula>"No grades yet"</formula>
    </cfRule>
    <cfRule type="cellIs" dxfId="228" priority="24" stopIfTrue="1" operator="greaterThanOrEqual">
      <formula>70</formula>
    </cfRule>
    <cfRule type="cellIs" dxfId="227" priority="25" stopIfTrue="1" operator="between">
      <formula>60</formula>
      <formula>69.999</formula>
    </cfRule>
    <cfRule type="cellIs" dxfId="226" priority="26" stopIfTrue="1" operator="between">
      <formula>50</formula>
      <formula>59.999</formula>
    </cfRule>
    <cfRule type="cellIs" dxfId="225" priority="27" stopIfTrue="1" operator="between">
      <formula>40</formula>
      <formula>49.999</formula>
    </cfRule>
    <cfRule type="cellIs" dxfId="224" priority="28" stopIfTrue="1" operator="lessThan">
      <formula>40</formula>
    </cfRule>
  </conditionalFormatting>
  <conditionalFormatting sqref="H10:H12">
    <cfRule type="expression" dxfId="223" priority="29" stopIfTrue="1">
      <formula>ISBLANK(H10)</formula>
    </cfRule>
    <cfRule type="cellIs" dxfId="222" priority="30" stopIfTrue="1" operator="equal">
      <formula>"No grades yet"</formula>
    </cfRule>
    <cfRule type="cellIs" dxfId="221" priority="31" stopIfTrue="1" operator="greaterThanOrEqual">
      <formula>70</formula>
    </cfRule>
    <cfRule type="cellIs" dxfId="220" priority="32" stopIfTrue="1" operator="between">
      <formula>60</formula>
      <formula>69.999</formula>
    </cfRule>
    <cfRule type="cellIs" dxfId="219" priority="33" stopIfTrue="1" operator="between">
      <formula>50</formula>
      <formula>59.999</formula>
    </cfRule>
    <cfRule type="cellIs" dxfId="218" priority="34" stopIfTrue="1" operator="between">
      <formula>40</formula>
      <formula>49.999</formula>
    </cfRule>
    <cfRule type="cellIs" dxfId="217" priority="35" stopIfTrue="1" operator="lessThan">
      <formula>40</formula>
    </cfRule>
  </conditionalFormatting>
  <conditionalFormatting sqref="K10:K12">
    <cfRule type="expression" dxfId="216" priority="36" stopIfTrue="1">
      <formula>ISBLANK(K10)</formula>
    </cfRule>
    <cfRule type="cellIs" dxfId="215" priority="37" stopIfTrue="1" operator="equal">
      <formula>"No grades yet"</formula>
    </cfRule>
    <cfRule type="cellIs" dxfId="214" priority="38" stopIfTrue="1" operator="greaterThanOrEqual">
      <formula>70</formula>
    </cfRule>
    <cfRule type="cellIs" dxfId="213" priority="39" stopIfTrue="1" operator="between">
      <formula>60</formula>
      <formula>69.999</formula>
    </cfRule>
    <cfRule type="cellIs" dxfId="212" priority="40" stopIfTrue="1" operator="between">
      <formula>50</formula>
      <formula>59.999</formula>
    </cfRule>
    <cfRule type="cellIs" dxfId="211" priority="41" stopIfTrue="1" operator="between">
      <formula>40</formula>
      <formula>49.999</formula>
    </cfRule>
    <cfRule type="cellIs" dxfId="210" priority="42" stopIfTrue="1" operator="lessThan">
      <formula>40</formula>
    </cfRule>
  </conditionalFormatting>
  <conditionalFormatting sqref="H13:H14">
    <cfRule type="expression" dxfId="209" priority="43" stopIfTrue="1">
      <formula>ISBLANK(H13)</formula>
    </cfRule>
    <cfRule type="cellIs" dxfId="208" priority="44" stopIfTrue="1" operator="equal">
      <formula>"No grades yet"</formula>
    </cfRule>
    <cfRule type="cellIs" dxfId="207" priority="45" stopIfTrue="1" operator="greaterThanOrEqual">
      <formula>70</formula>
    </cfRule>
    <cfRule type="cellIs" dxfId="206" priority="46" stopIfTrue="1" operator="between">
      <formula>60</formula>
      <formula>69.999</formula>
    </cfRule>
    <cfRule type="cellIs" dxfId="205" priority="47" stopIfTrue="1" operator="between">
      <formula>50</formula>
      <formula>59.999</formula>
    </cfRule>
    <cfRule type="cellIs" dxfId="204" priority="48" stopIfTrue="1" operator="between">
      <formula>40</formula>
      <formula>49.999</formula>
    </cfRule>
    <cfRule type="cellIs" dxfId="203" priority="49" stopIfTrue="1" operator="lessThan">
      <formula>40</formula>
    </cfRule>
  </conditionalFormatting>
  <conditionalFormatting sqref="K13:K14">
    <cfRule type="expression" dxfId="202" priority="50" stopIfTrue="1">
      <formula>ISBLANK(K13)</formula>
    </cfRule>
    <cfRule type="cellIs" dxfId="201" priority="51" stopIfTrue="1" operator="equal">
      <formula>"No grades yet"</formula>
    </cfRule>
    <cfRule type="cellIs" dxfId="200" priority="52" stopIfTrue="1" operator="greaterThanOrEqual">
      <formula>70</formula>
    </cfRule>
    <cfRule type="cellIs" dxfId="199" priority="53" stopIfTrue="1" operator="between">
      <formula>60</formula>
      <formula>69.999</formula>
    </cfRule>
    <cfRule type="cellIs" dxfId="198" priority="54" stopIfTrue="1" operator="between">
      <formula>50</formula>
      <formula>59.999</formula>
    </cfRule>
    <cfRule type="cellIs" dxfId="197" priority="55" stopIfTrue="1" operator="between">
      <formula>40</formula>
      <formula>49.999</formula>
    </cfRule>
    <cfRule type="cellIs" dxfId="196" priority="56" stopIfTrue="1" operator="lessThan">
      <formula>40</formula>
    </cfRule>
  </conditionalFormatting>
  <conditionalFormatting sqref="H15:H17">
    <cfRule type="expression" dxfId="195" priority="57" stopIfTrue="1">
      <formula>ISBLANK(H15)</formula>
    </cfRule>
    <cfRule type="cellIs" dxfId="194" priority="58" stopIfTrue="1" operator="equal">
      <formula>"No grades yet"</formula>
    </cfRule>
    <cfRule type="cellIs" dxfId="193" priority="59" stopIfTrue="1" operator="greaterThanOrEqual">
      <formula>70</formula>
    </cfRule>
    <cfRule type="cellIs" dxfId="192" priority="60" stopIfTrue="1" operator="between">
      <formula>60</formula>
      <formula>69.999</formula>
    </cfRule>
    <cfRule type="cellIs" dxfId="191" priority="61" stopIfTrue="1" operator="between">
      <formula>50</formula>
      <formula>59.999</formula>
    </cfRule>
    <cfRule type="cellIs" dxfId="190" priority="62" stopIfTrue="1" operator="between">
      <formula>40</formula>
      <formula>49.999</formula>
    </cfRule>
    <cfRule type="cellIs" dxfId="189" priority="63" stopIfTrue="1" operator="lessThan">
      <formula>40</formula>
    </cfRule>
  </conditionalFormatting>
  <conditionalFormatting sqref="K15:K17">
    <cfRule type="expression" dxfId="188" priority="64" stopIfTrue="1">
      <formula>ISBLANK(K15)</formula>
    </cfRule>
    <cfRule type="cellIs" dxfId="187" priority="65" stopIfTrue="1" operator="equal">
      <formula>"No grades yet"</formula>
    </cfRule>
    <cfRule type="cellIs" dxfId="186" priority="66" stopIfTrue="1" operator="greaterThanOrEqual">
      <formula>70</formula>
    </cfRule>
    <cfRule type="cellIs" dxfId="185" priority="67" stopIfTrue="1" operator="between">
      <formula>60</formula>
      <formula>69.999</formula>
    </cfRule>
    <cfRule type="cellIs" dxfId="184" priority="68" stopIfTrue="1" operator="between">
      <formula>50</formula>
      <formula>59.999</formula>
    </cfRule>
    <cfRule type="cellIs" dxfId="183" priority="69" stopIfTrue="1" operator="between">
      <formula>40</formula>
      <formula>49.999</formula>
    </cfRule>
    <cfRule type="cellIs" dxfId="182" priority="70" stopIfTrue="1" operator="lessThan">
      <formula>40</formula>
    </cfRule>
  </conditionalFormatting>
  <conditionalFormatting sqref="H18:H20">
    <cfRule type="expression" dxfId="181" priority="71" stopIfTrue="1">
      <formula>ISBLANK(H18)</formula>
    </cfRule>
    <cfRule type="cellIs" dxfId="180" priority="72" stopIfTrue="1" operator="equal">
      <formula>"No grades yet"</formula>
    </cfRule>
    <cfRule type="cellIs" dxfId="179" priority="73" stopIfTrue="1" operator="greaterThanOrEqual">
      <formula>70</formula>
    </cfRule>
    <cfRule type="cellIs" dxfId="178" priority="74" stopIfTrue="1" operator="between">
      <formula>60</formula>
      <formula>69.999</formula>
    </cfRule>
    <cfRule type="cellIs" dxfId="177" priority="75" stopIfTrue="1" operator="between">
      <formula>50</formula>
      <formula>59.999</formula>
    </cfRule>
    <cfRule type="cellIs" dxfId="176" priority="76" stopIfTrue="1" operator="between">
      <formula>40</formula>
      <formula>49.999</formula>
    </cfRule>
    <cfRule type="cellIs" dxfId="175" priority="77" stopIfTrue="1" operator="lessThan">
      <formula>40</formula>
    </cfRule>
  </conditionalFormatting>
  <conditionalFormatting sqref="K18:K20">
    <cfRule type="expression" dxfId="174" priority="78" stopIfTrue="1">
      <formula>ISBLANK(K18)</formula>
    </cfRule>
    <cfRule type="cellIs" dxfId="173" priority="79" stopIfTrue="1" operator="equal">
      <formula>"No grades yet"</formula>
    </cfRule>
    <cfRule type="cellIs" dxfId="172" priority="80" stopIfTrue="1" operator="greaterThanOrEqual">
      <formula>70</formula>
    </cfRule>
    <cfRule type="cellIs" dxfId="171" priority="81" stopIfTrue="1" operator="between">
      <formula>60</formula>
      <formula>69.999</formula>
    </cfRule>
    <cfRule type="cellIs" dxfId="170" priority="82" stopIfTrue="1" operator="between">
      <formula>50</formula>
      <formula>59.999</formula>
    </cfRule>
    <cfRule type="cellIs" dxfId="169" priority="83" stopIfTrue="1" operator="between">
      <formula>40</formula>
      <formula>49.999</formula>
    </cfRule>
    <cfRule type="cellIs" dxfId="168" priority="84" stopIfTrue="1" operator="lessThan">
      <formula>40</formula>
    </cfRule>
  </conditionalFormatting>
  <conditionalFormatting sqref="H21">
    <cfRule type="expression" dxfId="167" priority="85" stopIfTrue="1">
      <formula>ISBLANK(H21)</formula>
    </cfRule>
    <cfRule type="cellIs" dxfId="166" priority="86" stopIfTrue="1" operator="equal">
      <formula>"No grades yet"</formula>
    </cfRule>
    <cfRule type="cellIs" dxfId="165" priority="87" stopIfTrue="1" operator="greaterThanOrEqual">
      <formula>70</formula>
    </cfRule>
    <cfRule type="cellIs" dxfId="164" priority="88" stopIfTrue="1" operator="between">
      <formula>60</formula>
      <formula>69.999</formula>
    </cfRule>
    <cfRule type="cellIs" dxfId="163" priority="89" stopIfTrue="1" operator="between">
      <formula>50</formula>
      <formula>59.999</formula>
    </cfRule>
    <cfRule type="cellIs" dxfId="162" priority="90" stopIfTrue="1" operator="between">
      <formula>40</formula>
      <formula>49.999</formula>
    </cfRule>
    <cfRule type="cellIs" dxfId="161" priority="91" stopIfTrue="1" operator="lessThan">
      <formula>40</formula>
    </cfRule>
  </conditionalFormatting>
  <conditionalFormatting sqref="K21">
    <cfRule type="expression" dxfId="160" priority="92" stopIfTrue="1">
      <formula>ISBLANK(K21)</formula>
    </cfRule>
    <cfRule type="cellIs" dxfId="159" priority="93" stopIfTrue="1" operator="equal">
      <formula>"No grades yet"</formula>
    </cfRule>
    <cfRule type="cellIs" dxfId="158" priority="94" stopIfTrue="1" operator="greaterThanOrEqual">
      <formula>70</formula>
    </cfRule>
    <cfRule type="cellIs" dxfId="157" priority="95" stopIfTrue="1" operator="between">
      <formula>60</formula>
      <formula>69.999</formula>
    </cfRule>
    <cfRule type="cellIs" dxfId="156" priority="96" stopIfTrue="1" operator="between">
      <formula>50</formula>
      <formula>59.999</formula>
    </cfRule>
    <cfRule type="cellIs" dxfId="155" priority="97" stopIfTrue="1" operator="between">
      <formula>40</formula>
      <formula>49.999</formula>
    </cfRule>
    <cfRule type="cellIs" dxfId="154" priority="98" stopIfTrue="1" operator="lessThan">
      <formula>40</formula>
    </cfRule>
  </conditionalFormatting>
  <conditionalFormatting sqref="H22">
    <cfRule type="expression" dxfId="153" priority="99" stopIfTrue="1">
      <formula>ISBLANK(H22)</formula>
    </cfRule>
    <cfRule type="cellIs" dxfId="152" priority="100" stopIfTrue="1" operator="equal">
      <formula>"No grades yet"</formula>
    </cfRule>
    <cfRule type="cellIs" dxfId="151" priority="101" stopIfTrue="1" operator="greaterThanOrEqual">
      <formula>70</formula>
    </cfRule>
    <cfRule type="cellIs" dxfId="150" priority="102" stopIfTrue="1" operator="between">
      <formula>60</formula>
      <formula>69.999</formula>
    </cfRule>
    <cfRule type="cellIs" dxfId="149" priority="103" stopIfTrue="1" operator="between">
      <formula>50</formula>
      <formula>59.999</formula>
    </cfRule>
    <cfRule type="cellIs" dxfId="148" priority="104" stopIfTrue="1" operator="between">
      <formula>40</formula>
      <formula>49.999</formula>
    </cfRule>
    <cfRule type="cellIs" dxfId="147" priority="105" stopIfTrue="1" operator="lessThan">
      <formula>40</formula>
    </cfRule>
  </conditionalFormatting>
  <conditionalFormatting sqref="K22">
    <cfRule type="expression" dxfId="146" priority="106" stopIfTrue="1">
      <formula>ISBLANK(K22)</formula>
    </cfRule>
    <cfRule type="cellIs" dxfId="145" priority="107" stopIfTrue="1" operator="equal">
      <formula>"No grades yet"</formula>
    </cfRule>
    <cfRule type="cellIs" dxfId="144" priority="108" stopIfTrue="1" operator="greaterThanOrEqual">
      <formula>70</formula>
    </cfRule>
    <cfRule type="cellIs" dxfId="143" priority="109" stopIfTrue="1" operator="between">
      <formula>60</formula>
      <formula>69.999</formula>
    </cfRule>
    <cfRule type="cellIs" dxfId="142" priority="110" stopIfTrue="1" operator="between">
      <formula>50</formula>
      <formula>59.999</formula>
    </cfRule>
    <cfRule type="cellIs" dxfId="141" priority="111" stopIfTrue="1" operator="between">
      <formula>40</formula>
      <formula>49.999</formula>
    </cfRule>
    <cfRule type="cellIs" dxfId="140" priority="112" stopIfTrue="1" operator="lessThan">
      <formula>40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36633-7CA6-448D-A35E-03AE0D3698F9}">
  <sheetPr codeName="Sheet11"/>
  <dimension ref="A1:O22"/>
  <sheetViews>
    <sheetView zoomScale="84" workbookViewId="0">
      <selection activeCell="B9" sqref="B9:B13"/>
    </sheetView>
  </sheetViews>
  <sheetFormatPr defaultRowHeight="13.2" x14ac:dyDescent="0.25"/>
  <cols>
    <col min="1" max="1" width="10.44140625" bestFit="1" customWidth="1"/>
    <col min="2" max="2" width="30.44140625" customWidth="1"/>
    <col min="3" max="3" width="7.88671875" customWidth="1"/>
    <col min="4" max="4" width="11.109375" customWidth="1"/>
    <col min="5" max="5" width="15.77734375" customWidth="1"/>
    <col min="6" max="6" width="7.6640625" customWidth="1"/>
    <col min="7" max="7" width="29.88671875" bestFit="1" customWidth="1"/>
    <col min="8" max="8" width="10.44140625" customWidth="1"/>
    <col min="9" max="9" width="8.44140625" hidden="1" customWidth="1"/>
    <col min="10" max="10" width="7.21875" hidden="1" customWidth="1"/>
    <col min="11" max="11" width="19.21875" customWidth="1"/>
    <col min="12" max="13" width="19.6640625" hidden="1" customWidth="1"/>
    <col min="14" max="14" width="18.109375" hidden="1" customWidth="1"/>
    <col min="15" max="15" width="19.5546875" hidden="1" customWidth="1"/>
  </cols>
  <sheetData>
    <row r="1" spans="1:15" ht="40.799999999999997" customHeight="1" thickTop="1" thickBot="1" x14ac:dyDescent="0.3">
      <c r="A1" s="70" t="s">
        <v>67</v>
      </c>
      <c r="B1" s="71" t="s">
        <v>3</v>
      </c>
      <c r="C1" s="71" t="s">
        <v>0</v>
      </c>
      <c r="D1" s="71" t="s">
        <v>93</v>
      </c>
      <c r="E1" s="301" t="s">
        <v>232</v>
      </c>
      <c r="F1" s="301"/>
      <c r="G1" s="301"/>
      <c r="H1" s="71" t="s">
        <v>4</v>
      </c>
      <c r="I1" s="71" t="s">
        <v>5</v>
      </c>
      <c r="J1" s="71" t="s">
        <v>6</v>
      </c>
      <c r="K1" s="71" t="s">
        <v>7</v>
      </c>
      <c r="L1" s="71" t="s">
        <v>201</v>
      </c>
      <c r="M1" s="71" t="s">
        <v>9</v>
      </c>
      <c r="N1" s="71" t="s">
        <v>202</v>
      </c>
      <c r="O1" s="72" t="s">
        <v>203</v>
      </c>
    </row>
    <row r="2" spans="1:15" ht="13.8" thickTop="1" x14ac:dyDescent="0.25">
      <c r="A2" s="235" t="s">
        <v>249</v>
      </c>
      <c r="B2" s="237" t="s">
        <v>250</v>
      </c>
      <c r="C2" s="306">
        <v>7.5</v>
      </c>
      <c r="D2" s="241">
        <v>0.4</v>
      </c>
      <c r="E2" s="30" t="s">
        <v>158</v>
      </c>
      <c r="F2" s="31">
        <v>0.7</v>
      </c>
      <c r="G2" s="30" t="s">
        <v>217</v>
      </c>
      <c r="H2" s="20"/>
      <c r="I2" s="166">
        <f>IF(F2=1, H2, SUMPRODUCT(H2:H4, F2:F4))</f>
        <v>0</v>
      </c>
      <c r="J2" s="166">
        <f>SUMIF(H2:H4, "&lt;&gt;", F2:F4) / SUMIF(F2:F4, "&lt;&gt;")</f>
        <v>0</v>
      </c>
      <c r="K2" s="166" t="str">
        <f>IFERROR(I2/J2, "No grades yet")</f>
        <v>No grades yet</v>
      </c>
      <c r="L2" s="166">
        <f>IFERROR(IF(J2 = 1, "Completed module", IF(((70 - I2) / (1 - J2)) &gt; 100, "Unattainable", IF(((70 - I2) / (1 - J2)) &lt; 0, "Already attained", ((70 - I2) / (1 - J2))))), "-")</f>
        <v>70</v>
      </c>
      <c r="M2" s="166">
        <f>IFERROR(IF(J2 = 1, "Completed module", IF(((60 - I2) / (1 - J2)) &gt; 100, "Unattainable", IF(((60 - I2) / (1 - J2)) &lt; 0, "Already attained", ((60 - I2) / (1 - J2))))), "-")</f>
        <v>60</v>
      </c>
      <c r="N2" s="166">
        <f>IFERROR(IF(J2 = 1, "Completed module", IF(((50 - I2) / (1 - J2)) &gt; 100, "Unattainable", IF(((50 - I2) / (1 - J2)) &lt; 0, "Already attained", ((50 - I2) / (1 - J2))))), "-")</f>
        <v>50</v>
      </c>
      <c r="O2" s="189">
        <f>IFERROR(IF(J2 = 1, "Completed module", IF(((40 - I2) / (1 - J2)) &gt; 100, "Unattainable", IF(((40 - I2) / (1 - J2)) &lt; 0, "Already attained", ((40 - I2) / (1 - J2))))), "-")</f>
        <v>40</v>
      </c>
    </row>
    <row r="3" spans="1:15" x14ac:dyDescent="0.25">
      <c r="A3" s="243"/>
      <c r="B3" s="245"/>
      <c r="C3" s="307"/>
      <c r="D3" s="249"/>
      <c r="E3" s="27" t="s">
        <v>196</v>
      </c>
      <c r="F3" s="28">
        <v>0.2</v>
      </c>
      <c r="G3" s="27" t="s">
        <v>251</v>
      </c>
      <c r="H3" s="14"/>
      <c r="I3" s="167"/>
      <c r="J3" s="167"/>
      <c r="K3" s="167"/>
      <c r="L3" s="167"/>
      <c r="M3" s="167"/>
      <c r="N3" s="167"/>
      <c r="O3" s="191"/>
    </row>
    <row r="4" spans="1:15" ht="13.8" thickBot="1" x14ac:dyDescent="0.3">
      <c r="A4" s="244"/>
      <c r="B4" s="246"/>
      <c r="C4" s="308"/>
      <c r="D4" s="250"/>
      <c r="E4" s="37" t="s">
        <v>196</v>
      </c>
      <c r="F4" s="38">
        <v>0.1</v>
      </c>
      <c r="G4" s="37" t="s">
        <v>252</v>
      </c>
      <c r="H4" s="16"/>
      <c r="I4" s="168"/>
      <c r="J4" s="168"/>
      <c r="K4" s="168"/>
      <c r="L4" s="168"/>
      <c r="M4" s="168"/>
      <c r="N4" s="168"/>
      <c r="O4" s="190"/>
    </row>
    <row r="5" spans="1:15" ht="13.8" thickTop="1" x14ac:dyDescent="0.25">
      <c r="A5" s="235" t="s">
        <v>253</v>
      </c>
      <c r="B5" s="237" t="s">
        <v>254</v>
      </c>
      <c r="C5" s="239">
        <v>5</v>
      </c>
      <c r="D5" s="241">
        <v>0.4</v>
      </c>
      <c r="E5" s="30" t="s">
        <v>158</v>
      </c>
      <c r="F5" s="31">
        <v>0.6</v>
      </c>
      <c r="G5" s="30" t="s">
        <v>217</v>
      </c>
      <c r="H5" s="20"/>
      <c r="I5" s="166">
        <f>IF(F5=1, H5, SUMPRODUCT(H5:H6, F5:F6))</f>
        <v>0</v>
      </c>
      <c r="J5" s="166">
        <f>SUMIF(H5:H6, "&lt;&gt;", F5:F6) / SUMIF(F5:F6, "&lt;&gt;")</f>
        <v>0</v>
      </c>
      <c r="K5" s="166" t="str">
        <f>IFERROR(I5/J5, "No grades yet")</f>
        <v>No grades yet</v>
      </c>
      <c r="L5" s="166">
        <f>IFERROR(IF(J5 = 1, "Completed module", IF(((70 - I5) / (1 - J5)) &gt; 100, "Unattainable", IF(((70 - I5) / (1 - J5)) &lt; 0, "Already attained", ((70 - I5) / (1 - J5))))), "-")</f>
        <v>70</v>
      </c>
      <c r="M5" s="166">
        <f>IFERROR(IF(J5 = 1, "Completed module", IF(((60 - I5) / (1 - J5)) &gt; 100, "Unattainable", IF(((60 - I5) / (1 - J5)) &lt; 0, "Already attained", ((60 - I5) / (1 - J5))))), "-")</f>
        <v>60</v>
      </c>
      <c r="N5" s="166">
        <f>IFERROR(IF(J5 = 1, "Completed module", IF(((50 - I5) / (1 - J5)) &gt; 100, "Unattainable", IF(((50 - I5) / (1 - J5)) &lt; 0, "Already attained", ((50 - I5) / (1 - J5))))), "-")</f>
        <v>50</v>
      </c>
      <c r="O5" s="189">
        <f>IFERROR(IF(J5 = 1, "Completed module", IF(((40 - I5) / (1 - J5)) &gt; 100, "Unattainable", IF(((40 - I5) / (1 - J5)) &lt; 0, "Already attained", ((40 - I5) / (1 - J5))))), "-")</f>
        <v>40</v>
      </c>
    </row>
    <row r="6" spans="1:15" ht="13.8" thickBot="1" x14ac:dyDescent="0.3">
      <c r="A6" s="244"/>
      <c r="B6" s="246"/>
      <c r="C6" s="248"/>
      <c r="D6" s="250"/>
      <c r="E6" s="37" t="s">
        <v>255</v>
      </c>
      <c r="F6" s="38">
        <v>0.4</v>
      </c>
      <c r="G6" s="37" t="s">
        <v>256</v>
      </c>
      <c r="H6" s="16"/>
      <c r="I6" s="168"/>
      <c r="J6" s="168"/>
      <c r="K6" s="168"/>
      <c r="L6" s="168"/>
      <c r="M6" s="168"/>
      <c r="N6" s="168"/>
      <c r="O6" s="190"/>
    </row>
    <row r="7" spans="1:15" ht="13.8" thickTop="1" x14ac:dyDescent="0.25">
      <c r="A7" s="235" t="s">
        <v>266</v>
      </c>
      <c r="B7" s="237" t="s">
        <v>267</v>
      </c>
      <c r="C7" s="239">
        <v>5</v>
      </c>
      <c r="D7" s="241">
        <v>0.4</v>
      </c>
      <c r="E7" s="30" t="s">
        <v>158</v>
      </c>
      <c r="F7" s="31">
        <v>0.5</v>
      </c>
      <c r="G7" s="30" t="s">
        <v>233</v>
      </c>
      <c r="H7" s="20"/>
      <c r="I7" s="166">
        <f>IF(F7=1, H7, SUMPRODUCT(H7:H8, F7:F8))</f>
        <v>0</v>
      </c>
      <c r="J7" s="166">
        <f>SUMIF(H7:H8, "&lt;&gt;", F7:F8) / SUMIF(F7:F8, "&lt;&gt;")</f>
        <v>0</v>
      </c>
      <c r="K7" s="166" t="str">
        <f>IFERROR(I7/J7, "No grades yet")</f>
        <v>No grades yet</v>
      </c>
      <c r="L7" s="166">
        <f>IFERROR(IF(J7 = 1, "Completed module", IF(((70 - I7) / (1 - J7)) &gt; 100, "Unattainable", IF(((70 - I7) / (1 - J7)) &lt; 0, "Already attained", ((70 - I7) / (1 - J7))))), "-")</f>
        <v>70</v>
      </c>
      <c r="M7" s="166">
        <f>IFERROR(IF(J7 = 1, "Completed module", IF(((60 - I7) / (1 - J7)) &gt; 100, "Unattainable", IF(((60 - I7) / (1 - J7)) &lt; 0, "Already attained", ((60 - I7) / (1 - J7))))), "-")</f>
        <v>60</v>
      </c>
      <c r="N7" s="166">
        <f>IFERROR(IF(J7 = 1, "Completed module", IF(((50 - I7) / (1 - J7)) &gt; 100, "Unattainable", IF(((50 - I7) / (1 - J7)) &lt; 0, "Already attained", ((50 - I7) / (1 - J7))))), "-")</f>
        <v>50</v>
      </c>
      <c r="O7" s="189">
        <f>IFERROR(IF(J7 = 1, "Completed module", IF(((40 - I7) / (1 - J7)) &gt; 100, "Unattainable", IF(((40 - I7) / (1 - J7)) &lt; 0, "Already attained", ((40 - I7) / (1 - J7))))), "-")</f>
        <v>40</v>
      </c>
    </row>
    <row r="8" spans="1:15" ht="13.8" thickBot="1" x14ac:dyDescent="0.3">
      <c r="A8" s="244"/>
      <c r="B8" s="246"/>
      <c r="C8" s="248"/>
      <c r="D8" s="250"/>
      <c r="E8" s="37" t="s">
        <v>220</v>
      </c>
      <c r="F8" s="38">
        <v>0.5</v>
      </c>
      <c r="G8" s="37" t="s">
        <v>268</v>
      </c>
      <c r="H8" s="16"/>
      <c r="I8" s="168"/>
      <c r="J8" s="168"/>
      <c r="K8" s="168"/>
      <c r="L8" s="168"/>
      <c r="M8" s="168"/>
      <c r="N8" s="168"/>
      <c r="O8" s="190"/>
    </row>
    <row r="9" spans="1:15" ht="13.8" thickTop="1" x14ac:dyDescent="0.25">
      <c r="A9" s="235" t="s">
        <v>269</v>
      </c>
      <c r="B9" s="237" t="s">
        <v>270</v>
      </c>
      <c r="C9" s="306">
        <v>7.5</v>
      </c>
      <c r="D9" s="241">
        <v>0.4</v>
      </c>
      <c r="E9" s="30" t="s">
        <v>241</v>
      </c>
      <c r="F9" s="31">
        <v>0.125</v>
      </c>
      <c r="G9" s="30" t="s">
        <v>271</v>
      </c>
      <c r="H9" s="20"/>
      <c r="I9" s="166">
        <f>IF(F9=1, H9, SUMPRODUCT(H9:H13, F9:F13))</f>
        <v>0</v>
      </c>
      <c r="J9" s="166">
        <f>SUMIF(H9:H13, "&lt;&gt;", F9:F13) / SUMIF(F9:F13, "&lt;&gt;")</f>
        <v>0</v>
      </c>
      <c r="K9" s="166" t="str">
        <f>IFERROR(I9/J9, "No grades yet")</f>
        <v>No grades yet</v>
      </c>
      <c r="L9" s="166">
        <f>IFERROR(IF(J9 = 1, "Completed module", IF(((70 - I9) / (1 - J9)) &gt; 100, "Unattainable", IF(((70 - I9) / (1 - J9)) &lt; 0, "Already attained", ((70 - I9) / (1 - J9))))), "-")</f>
        <v>70</v>
      </c>
      <c r="M9" s="166">
        <f>IFERROR(IF(J9 = 1, "Completed module", IF(((60 - I9) / (1 - J9)) &gt; 100, "Unattainable", IF(((60 - I9) / (1 - J9)) &lt; 0, "Already attained", ((60 - I9) / (1 - J9))))), "-")</f>
        <v>60</v>
      </c>
      <c r="N9" s="166">
        <f>IFERROR(IF(J9 = 1, "Completed module", IF(((50 - I9) / (1 - J9)) &gt; 100, "Unattainable", IF(((50 - I9) / (1 - J9)) &lt; 0, "Already attained", ((50 - I9) / (1 - J9))))), "-")</f>
        <v>50</v>
      </c>
      <c r="O9" s="189">
        <f>IFERROR(IF(J9 = 1, "Completed module", IF(((40 - I9) / (1 - J9)) &gt; 100, "Unattainable", IF(((40 - I9) / (1 - J9)) &lt; 0, "Already attained", ((40 - I9) / (1 - J9))))), "-")</f>
        <v>40</v>
      </c>
    </row>
    <row r="10" spans="1:15" x14ac:dyDescent="0.25">
      <c r="A10" s="243"/>
      <c r="B10" s="245"/>
      <c r="C10" s="307"/>
      <c r="D10" s="249"/>
      <c r="E10" s="27" t="s">
        <v>241</v>
      </c>
      <c r="F10" s="28">
        <v>0.125</v>
      </c>
      <c r="G10" s="27" t="s">
        <v>272</v>
      </c>
      <c r="H10" s="14"/>
      <c r="I10" s="167"/>
      <c r="J10" s="167"/>
      <c r="K10" s="167"/>
      <c r="L10" s="167"/>
      <c r="M10" s="167"/>
      <c r="N10" s="167"/>
      <c r="O10" s="191"/>
    </row>
    <row r="11" spans="1:15" x14ac:dyDescent="0.25">
      <c r="A11" s="243"/>
      <c r="B11" s="245"/>
      <c r="C11" s="307"/>
      <c r="D11" s="249"/>
      <c r="E11" s="27" t="s">
        <v>273</v>
      </c>
      <c r="F11" s="28">
        <v>0.2</v>
      </c>
      <c r="G11" s="27" t="s">
        <v>274</v>
      </c>
      <c r="H11" s="14"/>
      <c r="I11" s="167"/>
      <c r="J11" s="167"/>
      <c r="K11" s="167"/>
      <c r="L11" s="167"/>
      <c r="M11" s="167"/>
      <c r="N11" s="167"/>
      <c r="O11" s="191"/>
    </row>
    <row r="12" spans="1:15" x14ac:dyDescent="0.25">
      <c r="A12" s="243"/>
      <c r="B12" s="245"/>
      <c r="C12" s="307"/>
      <c r="D12" s="249"/>
      <c r="E12" s="27" t="s">
        <v>196</v>
      </c>
      <c r="F12" s="28">
        <v>0.25</v>
      </c>
      <c r="G12" s="27" t="s">
        <v>196</v>
      </c>
      <c r="H12" s="14"/>
      <c r="I12" s="167"/>
      <c r="J12" s="167"/>
      <c r="K12" s="167"/>
      <c r="L12" s="167"/>
      <c r="M12" s="167"/>
      <c r="N12" s="167"/>
      <c r="O12" s="191"/>
    </row>
    <row r="13" spans="1:15" ht="27" thickBot="1" x14ac:dyDescent="0.3">
      <c r="A13" s="244"/>
      <c r="B13" s="246"/>
      <c r="C13" s="308"/>
      <c r="D13" s="250"/>
      <c r="E13" s="37" t="s">
        <v>207</v>
      </c>
      <c r="F13" s="38">
        <v>0.3</v>
      </c>
      <c r="G13" s="37" t="s">
        <v>275</v>
      </c>
      <c r="H13" s="16"/>
      <c r="I13" s="168"/>
      <c r="J13" s="168"/>
      <c r="K13" s="168"/>
      <c r="L13" s="168"/>
      <c r="M13" s="168"/>
      <c r="N13" s="168"/>
      <c r="O13" s="190"/>
    </row>
    <row r="14" spans="1:15" ht="14.4" thickTop="1" thickBot="1" x14ac:dyDescent="0.3">
      <c r="A14" s="102" t="s">
        <v>276</v>
      </c>
      <c r="B14" s="103" t="s">
        <v>277</v>
      </c>
      <c r="C14" s="104">
        <v>5</v>
      </c>
      <c r="D14" s="105">
        <v>0.4</v>
      </c>
      <c r="E14" s="108" t="s">
        <v>207</v>
      </c>
      <c r="F14" s="109">
        <v>1</v>
      </c>
      <c r="G14" s="108" t="s">
        <v>278</v>
      </c>
      <c r="H14" s="93"/>
      <c r="I14" s="94">
        <f>IF(F14=1, H14, SUMPRODUCT(H14:H14, F14:F14))</f>
        <v>0</v>
      </c>
      <c r="J14" s="94">
        <f>SUMIF(H14:H14, "&lt;&gt;", F14:F14) / SUMIF(F14:F14, "&lt;&gt;")</f>
        <v>0</v>
      </c>
      <c r="K14" s="94" t="str">
        <f>IFERROR(I14/J14, "No grades yet")</f>
        <v>No grades yet</v>
      </c>
      <c r="L14" s="94">
        <f>IFERROR(IF(J14 = 1, "Completed module", IF(((70 - I14) / (1 - J14)) &gt; 100, "Unattainable", IF(((70 - I14) / (1 - J14)) &lt; 0, "Already attained", ((70 - I14) / (1 - J14))))), "-")</f>
        <v>70</v>
      </c>
      <c r="M14" s="94">
        <f>IFERROR(IF(J14 = 1, "Completed module", IF(((60 - I14) / (1 - J14)) &gt; 100, "Unattainable", IF(((60 - I14) / (1 - J14)) &lt; 0, "Already attained", ((60 - I14) / (1 - J14))))), "-")</f>
        <v>60</v>
      </c>
      <c r="N14" s="94">
        <f>IFERROR(IF(J14 = 1, "Completed module", IF(((50 - I14) / (1 - J14)) &gt; 100, "Unattainable", IF(((50 - I14) / (1 - J14)) &lt; 0, "Already attained", ((50 - I14) / (1 - J14))))), "-")</f>
        <v>50</v>
      </c>
      <c r="O14" s="95">
        <f>IFERROR(IF(J14 = 1, "Completed module", IF(((40 - I14) / (1 - J14)) &gt; 100, "Unattainable", IF(((40 - I14) / (1 - J14)) &lt; 0, "Already attained", ((40 - I14) / (1 - J14))))), "-")</f>
        <v>40</v>
      </c>
    </row>
    <row r="15" spans="1:15" ht="40.799999999999997" thickTop="1" thickBot="1" x14ac:dyDescent="0.3">
      <c r="A15" s="102" t="s">
        <v>279</v>
      </c>
      <c r="B15" s="103" t="s">
        <v>280</v>
      </c>
      <c r="C15" s="104">
        <v>10</v>
      </c>
      <c r="D15" s="105">
        <v>0.4</v>
      </c>
      <c r="E15" s="108" t="s">
        <v>207</v>
      </c>
      <c r="F15" s="109">
        <v>1</v>
      </c>
      <c r="G15" s="108" t="s">
        <v>281</v>
      </c>
      <c r="H15" s="93"/>
      <c r="I15" s="94">
        <f>IF(F15=1, H15, SUMPRODUCT(H15:H15, F15:F15))</f>
        <v>0</v>
      </c>
      <c r="J15" s="94">
        <f>SUMIF(H15:H15, "&lt;&gt;", F15:F15) / SUMIF(F15:F15, "&lt;&gt;")</f>
        <v>0</v>
      </c>
      <c r="K15" s="94" t="str">
        <f>IFERROR(I15/J15, "No grades yet")</f>
        <v>No grades yet</v>
      </c>
      <c r="L15" s="94">
        <f>IFERROR(IF(J15 = 1, "Completed module", IF(((70 - I15) / (1 - J15)) &gt; 100, "Unattainable", IF(((70 - I15) / (1 - J15)) &lt; 0, "Already attained", ((70 - I15) / (1 - J15))))), "-")</f>
        <v>70</v>
      </c>
      <c r="M15" s="94">
        <f>IFERROR(IF(J15 = 1, "Completed module", IF(((60 - I15) / (1 - J15)) &gt; 100, "Unattainable", IF(((60 - I15) / (1 - J15)) &lt; 0, "Already attained", ((60 - I15) / (1 - J15))))), "-")</f>
        <v>60</v>
      </c>
      <c r="N15" s="94">
        <f>IFERROR(IF(J15 = 1, "Completed module", IF(((50 - I15) / (1 - J15)) &gt; 100, "Unattainable", IF(((50 - I15) / (1 - J15)) &lt; 0, "Already attained", ((50 - I15) / (1 - J15))))), "-")</f>
        <v>50</v>
      </c>
      <c r="O15" s="95">
        <f>IFERROR(IF(J15 = 1, "Completed module", IF(((40 - I15) / (1 - J15)) &gt; 100, "Unattainable", IF(((40 - I15) / (1 - J15)) &lt; 0, "Already attained", ((40 - I15) / (1 - J15))))), "-")</f>
        <v>40</v>
      </c>
    </row>
    <row r="16" spans="1:15" ht="13.8" thickTop="1" x14ac:dyDescent="0.25">
      <c r="A16" s="235" t="s">
        <v>282</v>
      </c>
      <c r="B16" s="237" t="s">
        <v>283</v>
      </c>
      <c r="C16" s="239">
        <v>5</v>
      </c>
      <c r="D16" s="241">
        <v>0.4</v>
      </c>
      <c r="E16" s="30" t="s">
        <v>207</v>
      </c>
      <c r="F16" s="31">
        <v>0.4</v>
      </c>
      <c r="G16" s="30" t="s">
        <v>284</v>
      </c>
      <c r="H16" s="20"/>
      <c r="I16" s="166">
        <f>IF(F16=1, H16, SUMPRODUCT(H16:H17, F16:F17))</f>
        <v>0</v>
      </c>
      <c r="J16" s="166">
        <f>SUMIF(H16:H17, "&lt;&gt;", F16:F17) / SUMIF(F16:F17, "&lt;&gt;")</f>
        <v>0</v>
      </c>
      <c r="K16" s="166" t="str">
        <f>IFERROR(I16/J16, "No grades yet")</f>
        <v>No grades yet</v>
      </c>
      <c r="L16" s="166">
        <f>IFERROR(IF(J16 = 1, "Completed module", IF(((70 - I16) / (1 - J16)) &gt; 100, "Unattainable", IF(((70 - I16) / (1 - J16)) &lt; 0, "Already attained", ((70 - I16) / (1 - J16))))), "-")</f>
        <v>70</v>
      </c>
      <c r="M16" s="166">
        <f>IFERROR(IF(J16 = 1, "Completed module", IF(((60 - I16) / (1 - J16)) &gt; 100, "Unattainable", IF(((60 - I16) / (1 - J16)) &lt; 0, "Already attained", ((60 - I16) / (1 - J16))))), "-")</f>
        <v>60</v>
      </c>
      <c r="N16" s="166">
        <f>IFERROR(IF(J16 = 1, "Completed module", IF(((50 - I16) / (1 - J16)) &gt; 100, "Unattainable", IF(((50 - I16) / (1 - J16)) &lt; 0, "Already attained", ((50 - I16) / (1 - J16))))), "-")</f>
        <v>50</v>
      </c>
      <c r="O16" s="189">
        <f>IFERROR(IF(J16 = 1, "Completed module", IF(((40 - I16) / (1 - J16)) &gt; 100, "Unattainable", IF(((40 - I16) / (1 - J16)) &lt; 0, "Already attained", ((40 - I16) / (1 - J16))))), "-")</f>
        <v>40</v>
      </c>
    </row>
    <row r="17" spans="1:15" ht="13.8" thickBot="1" x14ac:dyDescent="0.3">
      <c r="A17" s="236"/>
      <c r="B17" s="238"/>
      <c r="C17" s="240"/>
      <c r="D17" s="242"/>
      <c r="E17" s="33" t="s">
        <v>209</v>
      </c>
      <c r="F17" s="34">
        <v>0.6</v>
      </c>
      <c r="G17" s="33" t="s">
        <v>285</v>
      </c>
      <c r="H17" s="26"/>
      <c r="I17" s="181"/>
      <c r="J17" s="181"/>
      <c r="K17" s="181"/>
      <c r="L17" s="181"/>
      <c r="M17" s="181"/>
      <c r="N17" s="181"/>
      <c r="O17" s="192"/>
    </row>
    <row r="18" spans="1:15" ht="13.8" thickTop="1" x14ac:dyDescent="0.25">
      <c r="A18" s="302" t="s">
        <v>257</v>
      </c>
      <c r="B18" s="303" t="s">
        <v>258</v>
      </c>
      <c r="C18" s="304">
        <v>5</v>
      </c>
      <c r="D18" s="305">
        <v>0.4</v>
      </c>
      <c r="E18" s="110" t="s">
        <v>158</v>
      </c>
      <c r="F18" s="111">
        <v>0.8</v>
      </c>
      <c r="G18" s="110" t="s">
        <v>217</v>
      </c>
      <c r="H18" s="112"/>
      <c r="I18" s="263">
        <f>IF(F18=1, H18, SUMPRODUCT(H18:H19, F18:F19))</f>
        <v>0</v>
      </c>
      <c r="J18" s="263">
        <f>SUMIF(H18:H19, "&lt;&gt;", F18:F19) / SUMIF(F18:F19, "&lt;&gt;")</f>
        <v>0</v>
      </c>
      <c r="K18" s="263" t="str">
        <f>IFERROR(I18/J18, "No grades yet")</f>
        <v>No grades yet</v>
      </c>
      <c r="L18" s="263">
        <f>IFERROR(IF(J18 = 1, "Completed module", IF(((70 - I18) / (1 - J18)) &gt; 100, "Unattainable", IF(((70 - I18) / (1 - J18)) &lt; 0, "Already attained", ((70 - I18) / (1 - J18))))), "-")</f>
        <v>70</v>
      </c>
      <c r="M18" s="263">
        <f>IFERROR(IF(J18 = 1, "Completed module", IF(((60 - I18) / (1 - J18)) &gt; 100, "Unattainable", IF(((60 - I18) / (1 - J18)) &lt; 0, "Already attained", ((60 - I18) / (1 - J18))))), "-")</f>
        <v>60</v>
      </c>
      <c r="N18" s="263">
        <f>IFERROR(IF(J18 = 1, "Completed module", IF(((50 - I18) / (1 - J18)) &gt; 100, "Unattainable", IF(((50 - I18) / (1 - J18)) &lt; 0, "Already attained", ((50 - I18) / (1 - J18))))), "-")</f>
        <v>50</v>
      </c>
      <c r="O18" s="262">
        <f>IFERROR(IF(J18 = 1, "Completed module", IF(((40 - I18) / (1 - J18)) &gt; 100, "Unattainable", IF(((40 - I18) / (1 - J18)) &lt; 0, "Already attained", ((40 - I18) / (1 - J18))))), "-")</f>
        <v>40</v>
      </c>
    </row>
    <row r="19" spans="1:15" ht="13.8" thickBot="1" x14ac:dyDescent="0.3">
      <c r="A19" s="244"/>
      <c r="B19" s="246"/>
      <c r="C19" s="248"/>
      <c r="D19" s="250"/>
      <c r="E19" s="37" t="s">
        <v>259</v>
      </c>
      <c r="F19" s="38">
        <v>0.2</v>
      </c>
      <c r="G19" s="37" t="s">
        <v>260</v>
      </c>
      <c r="H19" s="16"/>
      <c r="I19" s="168"/>
      <c r="J19" s="168"/>
      <c r="K19" s="168"/>
      <c r="L19" s="168"/>
      <c r="M19" s="168"/>
      <c r="N19" s="168"/>
      <c r="O19" s="190"/>
    </row>
    <row r="20" spans="1:15" ht="40.799999999999997" thickTop="1" thickBot="1" x14ac:dyDescent="0.3">
      <c r="A20" s="102" t="s">
        <v>261</v>
      </c>
      <c r="B20" s="103" t="s">
        <v>262</v>
      </c>
      <c r="C20" s="104">
        <v>6</v>
      </c>
      <c r="D20" s="105">
        <v>0.4</v>
      </c>
      <c r="E20" s="106" t="s">
        <v>263</v>
      </c>
      <c r="F20" s="107"/>
      <c r="G20" s="106"/>
      <c r="H20" s="93"/>
      <c r="I20" s="94" t="e">
        <f>IF(F20=1, H20, SUMPRODUCT(H20:H20, F20:F20))</f>
        <v>#VALUE!</v>
      </c>
      <c r="J20" s="94" t="e">
        <f>SUMIF(H20:H20, "&lt;&gt;", F20:F20) / SUMIF(F20:F20, "&lt;&gt;")</f>
        <v>#DIV/0!</v>
      </c>
      <c r="K20" s="94" t="str">
        <f>IFERROR(I20/J20, "No grades yet")</f>
        <v>No grades yet</v>
      </c>
      <c r="L20" s="94" t="str">
        <f>IFERROR(IF(J20 = 1, "Completed module", IF(((70 - I20) / (1 - J20)) &gt; 100, "Unattainable", IF(((70 - I20) / (1 - J20)) &lt; 0, "Already attained", ((70 - I20) / (1 - J20))))), "-")</f>
        <v>-</v>
      </c>
      <c r="M20" s="94" t="str">
        <f>IFERROR(IF(J20 = 1, "Completed module", IF(((60 - I20) / (1 - J20)) &gt; 100, "Unattainable", IF(((60 - I20) / (1 - J20)) &lt; 0, "Already attained", ((60 - I20) / (1 - J20))))), "-")</f>
        <v>-</v>
      </c>
      <c r="N20" s="94" t="str">
        <f>IFERROR(IF(J20 = 1, "Completed module", IF(((50 - I20) / (1 - J20)) &gt; 100, "Unattainable", IF(((50 - I20) / (1 - J20)) &lt; 0, "Already attained", ((50 - I20) / (1 - J20))))), "-")</f>
        <v>-</v>
      </c>
      <c r="O20" s="95" t="str">
        <f>IFERROR(IF(J20 = 1, "Completed module", IF(((40 - I20) / (1 - J20)) &gt; 100, "Unattainable", IF(((40 - I20) / (1 - J20)) &lt; 0, "Already attained", ((40 - I20) / (1 - J20))))), "-")</f>
        <v>-</v>
      </c>
    </row>
    <row r="21" spans="1:15" ht="40.799999999999997" thickTop="1" thickBot="1" x14ac:dyDescent="0.3">
      <c r="A21" s="101" t="s">
        <v>264</v>
      </c>
      <c r="B21" s="100" t="s">
        <v>265</v>
      </c>
      <c r="C21" s="96">
        <v>6</v>
      </c>
      <c r="D21" s="97">
        <v>0.4</v>
      </c>
      <c r="E21" s="98" t="s">
        <v>263</v>
      </c>
      <c r="F21" s="99"/>
      <c r="G21" s="98"/>
      <c r="H21" s="82"/>
      <c r="I21" s="83" t="e">
        <f>IF(F21=1, H21, SUMPRODUCT(H21:H21, F21:F21))</f>
        <v>#VALUE!</v>
      </c>
      <c r="J21" s="83" t="e">
        <f>SUMIF(H21:H21, "&lt;&gt;", F21:F21) / SUMIF(F21:F21, "&lt;&gt;")</f>
        <v>#DIV/0!</v>
      </c>
      <c r="K21" s="83" t="str">
        <f>IFERROR(I21/J21, "No grades yet")</f>
        <v>No grades yet</v>
      </c>
      <c r="L21" s="83" t="str">
        <f>IFERROR(IF(J21 = 1, "Completed module", IF(((70 - I21) / (1 - J21)) &gt; 100, "Unattainable", IF(((70 - I21) / (1 - J21)) &lt; 0, "Already attained", ((70 - I21) / (1 - J21))))), "-")</f>
        <v>-</v>
      </c>
      <c r="M21" s="83" t="str">
        <f>IFERROR(IF(J21 = 1, "Completed module", IF(((60 - I21) / (1 - J21)) &gt; 100, "Unattainable", IF(((60 - I21) / (1 - J21)) &lt; 0, "Already attained", ((60 - I21) / (1 - J21))))), "-")</f>
        <v>-</v>
      </c>
      <c r="N21" s="83" t="str">
        <f>IFERROR(IF(J21 = 1, "Completed module", IF(((50 - I21) / (1 - J21)) &gt; 100, "Unattainable", IF(((50 - I21) / (1 - J21)) &lt; 0, "Already attained", ((50 - I21) / (1 - J21))))), "-")</f>
        <v>-</v>
      </c>
      <c r="O21" s="84" t="str">
        <f>IFERROR(IF(J21 = 1, "Completed module", IF(((40 - I21) / (1 - J21)) &gt; 100, "Unattainable", IF(((40 - I21) / (1 - J21)) &lt; 0, "Already attained", ((40 - I21) / (1 - J21))))), "-")</f>
        <v>-</v>
      </c>
    </row>
    <row r="22" spans="1:15" ht="13.8" thickTop="1" x14ac:dyDescent="0.25"/>
  </sheetData>
  <mergeCells count="67">
    <mergeCell ref="I18:I19"/>
    <mergeCell ref="J18:J19"/>
    <mergeCell ref="N9:N13"/>
    <mergeCell ref="O9:O13"/>
    <mergeCell ref="I16:I17"/>
    <mergeCell ref="J16:J17"/>
    <mergeCell ref="K16:K17"/>
    <mergeCell ref="L16:L17"/>
    <mergeCell ref="M16:M17"/>
    <mergeCell ref="N16:N17"/>
    <mergeCell ref="O16:O17"/>
    <mergeCell ref="I9:I13"/>
    <mergeCell ref="J9:J13"/>
    <mergeCell ref="K9:K13"/>
    <mergeCell ref="L9:L13"/>
    <mergeCell ref="M9:M13"/>
    <mergeCell ref="I7:I8"/>
    <mergeCell ref="J7:J8"/>
    <mergeCell ref="K7:K8"/>
    <mergeCell ref="L7:L8"/>
    <mergeCell ref="M7:M8"/>
    <mergeCell ref="K18:K19"/>
    <mergeCell ref="L18:L19"/>
    <mergeCell ref="M18:M19"/>
    <mergeCell ref="N2:N4"/>
    <mergeCell ref="O2:O4"/>
    <mergeCell ref="N5:N6"/>
    <mergeCell ref="O5:O6"/>
    <mergeCell ref="N18:N19"/>
    <mergeCell ref="O18:O19"/>
    <mergeCell ref="N7:N8"/>
    <mergeCell ref="O7:O8"/>
    <mergeCell ref="I5:I6"/>
    <mergeCell ref="J5:J6"/>
    <mergeCell ref="K5:K6"/>
    <mergeCell ref="L5:L6"/>
    <mergeCell ref="M5:M6"/>
    <mergeCell ref="I2:I4"/>
    <mergeCell ref="J2:J4"/>
    <mergeCell ref="K2:K4"/>
    <mergeCell ref="L2:L4"/>
    <mergeCell ref="M2:M4"/>
    <mergeCell ref="A2:A4"/>
    <mergeCell ref="B2:B4"/>
    <mergeCell ref="C2:C4"/>
    <mergeCell ref="D2:D4"/>
    <mergeCell ref="E1:G1"/>
    <mergeCell ref="A5:A6"/>
    <mergeCell ref="B5:B6"/>
    <mergeCell ref="C5:C6"/>
    <mergeCell ref="D5:D6"/>
    <mergeCell ref="A7:A8"/>
    <mergeCell ref="B7:B8"/>
    <mergeCell ref="C7:C8"/>
    <mergeCell ref="D7:D8"/>
    <mergeCell ref="A18:A19"/>
    <mergeCell ref="B18:B19"/>
    <mergeCell ref="C18:C19"/>
    <mergeCell ref="D18:D19"/>
    <mergeCell ref="A9:A13"/>
    <mergeCell ref="B9:B13"/>
    <mergeCell ref="C9:C13"/>
    <mergeCell ref="D9:D13"/>
    <mergeCell ref="A16:A17"/>
    <mergeCell ref="B16:B17"/>
    <mergeCell ref="C16:C17"/>
    <mergeCell ref="D16:D17"/>
  </mergeCells>
  <conditionalFormatting sqref="H2:H4">
    <cfRule type="expression" dxfId="139" priority="1" stopIfTrue="1">
      <formula>ISBLANK(H2)</formula>
    </cfRule>
    <cfRule type="cellIs" dxfId="138" priority="2" stopIfTrue="1" operator="equal">
      <formula>"No grades yet"</formula>
    </cfRule>
    <cfRule type="cellIs" dxfId="137" priority="3" stopIfTrue="1" operator="greaterThanOrEqual">
      <formula>70</formula>
    </cfRule>
    <cfRule type="cellIs" dxfId="136" priority="4" stopIfTrue="1" operator="between">
      <formula>60</formula>
      <formula>69.999</formula>
    </cfRule>
    <cfRule type="cellIs" dxfId="135" priority="5" stopIfTrue="1" operator="between">
      <formula>50</formula>
      <formula>59.999</formula>
    </cfRule>
    <cfRule type="cellIs" dxfId="134" priority="6" stopIfTrue="1" operator="between">
      <formula>40</formula>
      <formula>49.999</formula>
    </cfRule>
    <cfRule type="cellIs" dxfId="133" priority="7" stopIfTrue="1" operator="lessThan">
      <formula>40</formula>
    </cfRule>
  </conditionalFormatting>
  <conditionalFormatting sqref="K2:K4">
    <cfRule type="expression" dxfId="132" priority="8" stopIfTrue="1">
      <formula>ISBLANK(K2)</formula>
    </cfRule>
    <cfRule type="cellIs" dxfId="131" priority="9" stopIfTrue="1" operator="equal">
      <formula>"No grades yet"</formula>
    </cfRule>
    <cfRule type="cellIs" dxfId="130" priority="10" stopIfTrue="1" operator="greaterThanOrEqual">
      <formula>70</formula>
    </cfRule>
    <cfRule type="cellIs" dxfId="129" priority="11" stopIfTrue="1" operator="between">
      <formula>60</formula>
      <formula>69.999</formula>
    </cfRule>
    <cfRule type="cellIs" dxfId="128" priority="12" stopIfTrue="1" operator="between">
      <formula>50</formula>
      <formula>59.999</formula>
    </cfRule>
    <cfRule type="cellIs" dxfId="127" priority="13" stopIfTrue="1" operator="between">
      <formula>40</formula>
      <formula>49.999</formula>
    </cfRule>
    <cfRule type="cellIs" dxfId="126" priority="14" stopIfTrue="1" operator="lessThan">
      <formula>40</formula>
    </cfRule>
  </conditionalFormatting>
  <conditionalFormatting sqref="H5:H6">
    <cfRule type="expression" dxfId="125" priority="15" stopIfTrue="1">
      <formula>ISBLANK(H5)</formula>
    </cfRule>
    <cfRule type="cellIs" dxfId="124" priority="16" stopIfTrue="1" operator="equal">
      <formula>"No grades yet"</formula>
    </cfRule>
    <cfRule type="cellIs" dxfId="123" priority="17" stopIfTrue="1" operator="greaterThanOrEqual">
      <formula>70</formula>
    </cfRule>
    <cfRule type="cellIs" dxfId="122" priority="18" stopIfTrue="1" operator="between">
      <formula>60</formula>
      <formula>69.999</formula>
    </cfRule>
    <cfRule type="cellIs" dxfId="121" priority="19" stopIfTrue="1" operator="between">
      <formula>50</formula>
      <formula>59.999</formula>
    </cfRule>
    <cfRule type="cellIs" dxfId="120" priority="20" stopIfTrue="1" operator="between">
      <formula>40</formula>
      <formula>49.999</formula>
    </cfRule>
    <cfRule type="cellIs" dxfId="119" priority="21" stopIfTrue="1" operator="lessThan">
      <formula>40</formula>
    </cfRule>
  </conditionalFormatting>
  <conditionalFormatting sqref="K5:K6">
    <cfRule type="expression" dxfId="118" priority="22" stopIfTrue="1">
      <formula>ISBLANK(K5)</formula>
    </cfRule>
    <cfRule type="cellIs" dxfId="117" priority="23" stopIfTrue="1" operator="equal">
      <formula>"No grades yet"</formula>
    </cfRule>
    <cfRule type="cellIs" dxfId="116" priority="24" stopIfTrue="1" operator="greaterThanOrEqual">
      <formula>70</formula>
    </cfRule>
    <cfRule type="cellIs" dxfId="115" priority="25" stopIfTrue="1" operator="between">
      <formula>60</formula>
      <formula>69.999</formula>
    </cfRule>
    <cfRule type="cellIs" dxfId="114" priority="26" stopIfTrue="1" operator="between">
      <formula>50</formula>
      <formula>59.999</formula>
    </cfRule>
    <cfRule type="cellIs" dxfId="113" priority="27" stopIfTrue="1" operator="between">
      <formula>40</formula>
      <formula>49.999</formula>
    </cfRule>
    <cfRule type="cellIs" dxfId="112" priority="28" stopIfTrue="1" operator="lessThan">
      <formula>40</formula>
    </cfRule>
  </conditionalFormatting>
  <conditionalFormatting sqref="H18:H19">
    <cfRule type="expression" dxfId="111" priority="29" stopIfTrue="1">
      <formula>ISBLANK(H18)</formula>
    </cfRule>
    <cfRule type="cellIs" dxfId="110" priority="30" stopIfTrue="1" operator="equal">
      <formula>"No grades yet"</formula>
    </cfRule>
    <cfRule type="cellIs" dxfId="109" priority="31" stopIfTrue="1" operator="greaterThanOrEqual">
      <formula>70</formula>
    </cfRule>
    <cfRule type="cellIs" dxfId="108" priority="32" stopIfTrue="1" operator="between">
      <formula>60</formula>
      <formula>69.999</formula>
    </cfRule>
    <cfRule type="cellIs" dxfId="107" priority="33" stopIfTrue="1" operator="between">
      <formula>50</formula>
      <formula>59.999</formula>
    </cfRule>
    <cfRule type="cellIs" dxfId="106" priority="34" stopIfTrue="1" operator="between">
      <formula>40</formula>
      <formula>49.999</formula>
    </cfRule>
    <cfRule type="cellIs" dxfId="105" priority="35" stopIfTrue="1" operator="lessThan">
      <formula>40</formula>
    </cfRule>
  </conditionalFormatting>
  <conditionalFormatting sqref="K18:K19">
    <cfRule type="expression" dxfId="104" priority="36" stopIfTrue="1">
      <formula>ISBLANK(K18)</formula>
    </cfRule>
    <cfRule type="cellIs" dxfId="103" priority="37" stopIfTrue="1" operator="equal">
      <formula>"No grades yet"</formula>
    </cfRule>
    <cfRule type="cellIs" dxfId="102" priority="38" stopIfTrue="1" operator="greaterThanOrEqual">
      <formula>70</formula>
    </cfRule>
    <cfRule type="cellIs" dxfId="101" priority="39" stopIfTrue="1" operator="between">
      <formula>60</formula>
      <formula>69.999</formula>
    </cfRule>
    <cfRule type="cellIs" dxfId="100" priority="40" stopIfTrue="1" operator="between">
      <formula>50</formula>
      <formula>59.999</formula>
    </cfRule>
    <cfRule type="cellIs" dxfId="99" priority="41" stopIfTrue="1" operator="between">
      <formula>40</formula>
      <formula>49.999</formula>
    </cfRule>
    <cfRule type="cellIs" dxfId="98" priority="42" stopIfTrue="1" operator="lessThan">
      <formula>40</formula>
    </cfRule>
  </conditionalFormatting>
  <conditionalFormatting sqref="H20">
    <cfRule type="expression" dxfId="97" priority="43" stopIfTrue="1">
      <formula>ISBLANK(H20)</formula>
    </cfRule>
    <cfRule type="cellIs" dxfId="96" priority="44" stopIfTrue="1" operator="equal">
      <formula>"No grades yet"</formula>
    </cfRule>
    <cfRule type="cellIs" dxfId="95" priority="45" stopIfTrue="1" operator="greaterThanOrEqual">
      <formula>70</formula>
    </cfRule>
    <cfRule type="cellIs" dxfId="94" priority="46" stopIfTrue="1" operator="between">
      <formula>60</formula>
      <formula>69.999</formula>
    </cfRule>
    <cfRule type="cellIs" dxfId="93" priority="47" stopIfTrue="1" operator="between">
      <formula>50</formula>
      <formula>59.999</formula>
    </cfRule>
    <cfRule type="cellIs" dxfId="92" priority="48" stopIfTrue="1" operator="between">
      <formula>40</formula>
      <formula>49.999</formula>
    </cfRule>
    <cfRule type="cellIs" dxfId="91" priority="49" stopIfTrue="1" operator="lessThan">
      <formula>40</formula>
    </cfRule>
  </conditionalFormatting>
  <conditionalFormatting sqref="K20">
    <cfRule type="expression" dxfId="90" priority="50" stopIfTrue="1">
      <formula>ISBLANK(K20)</formula>
    </cfRule>
    <cfRule type="cellIs" dxfId="89" priority="51" stopIfTrue="1" operator="equal">
      <formula>"No grades yet"</formula>
    </cfRule>
    <cfRule type="cellIs" dxfId="88" priority="52" stopIfTrue="1" operator="greaterThanOrEqual">
      <formula>70</formula>
    </cfRule>
    <cfRule type="cellIs" dxfId="87" priority="53" stopIfTrue="1" operator="between">
      <formula>60</formula>
      <formula>69.999</formula>
    </cfRule>
    <cfRule type="cellIs" dxfId="86" priority="54" stopIfTrue="1" operator="between">
      <formula>50</formula>
      <formula>59.999</formula>
    </cfRule>
    <cfRule type="cellIs" dxfId="85" priority="55" stopIfTrue="1" operator="between">
      <formula>40</formula>
      <formula>49.999</formula>
    </cfRule>
    <cfRule type="cellIs" dxfId="84" priority="56" stopIfTrue="1" operator="lessThan">
      <formula>40</formula>
    </cfRule>
  </conditionalFormatting>
  <conditionalFormatting sqref="H21">
    <cfRule type="expression" dxfId="83" priority="71" stopIfTrue="1">
      <formula>ISBLANK(H21)</formula>
    </cfRule>
    <cfRule type="cellIs" dxfId="82" priority="72" stopIfTrue="1" operator="equal">
      <formula>"No grades yet"</formula>
    </cfRule>
    <cfRule type="cellIs" dxfId="81" priority="73" stopIfTrue="1" operator="greaterThanOrEqual">
      <formula>70</formula>
    </cfRule>
    <cfRule type="cellIs" dxfId="80" priority="74" stopIfTrue="1" operator="between">
      <formula>60</formula>
      <formula>69.999</formula>
    </cfRule>
    <cfRule type="cellIs" dxfId="79" priority="75" stopIfTrue="1" operator="between">
      <formula>50</formula>
      <formula>59.999</formula>
    </cfRule>
    <cfRule type="cellIs" dxfId="78" priority="76" stopIfTrue="1" operator="between">
      <formula>40</formula>
      <formula>49.999</formula>
    </cfRule>
    <cfRule type="cellIs" dxfId="77" priority="77" stopIfTrue="1" operator="lessThan">
      <formula>40</formula>
    </cfRule>
  </conditionalFormatting>
  <conditionalFormatting sqref="K21">
    <cfRule type="expression" dxfId="76" priority="78" stopIfTrue="1">
      <formula>ISBLANK(K21)</formula>
    </cfRule>
    <cfRule type="cellIs" dxfId="75" priority="79" stopIfTrue="1" operator="equal">
      <formula>"No grades yet"</formula>
    </cfRule>
    <cfRule type="cellIs" dxfId="74" priority="80" stopIfTrue="1" operator="greaterThanOrEqual">
      <formula>70</formula>
    </cfRule>
    <cfRule type="cellIs" dxfId="73" priority="81" stopIfTrue="1" operator="between">
      <formula>60</formula>
      <formula>69.999</formula>
    </cfRule>
    <cfRule type="cellIs" dxfId="72" priority="82" stopIfTrue="1" operator="between">
      <formula>50</formula>
      <formula>59.999</formula>
    </cfRule>
    <cfRule type="cellIs" dxfId="71" priority="83" stopIfTrue="1" operator="between">
      <formula>40</formula>
      <formula>49.999</formula>
    </cfRule>
    <cfRule type="cellIs" dxfId="70" priority="84" stopIfTrue="1" operator="lessThan">
      <formula>40</formula>
    </cfRule>
  </conditionalFormatting>
  <conditionalFormatting sqref="H7:H8">
    <cfRule type="expression" dxfId="69" priority="85" stopIfTrue="1">
      <formula>ISBLANK(H7)</formula>
    </cfRule>
    <cfRule type="cellIs" dxfId="68" priority="86" stopIfTrue="1" operator="equal">
      <formula>"No grades yet"</formula>
    </cfRule>
    <cfRule type="cellIs" dxfId="67" priority="87" stopIfTrue="1" operator="greaterThanOrEqual">
      <formula>70</formula>
    </cfRule>
    <cfRule type="cellIs" dxfId="66" priority="88" stopIfTrue="1" operator="between">
      <formula>60</formula>
      <formula>69.999</formula>
    </cfRule>
    <cfRule type="cellIs" dxfId="65" priority="89" stopIfTrue="1" operator="between">
      <formula>50</formula>
      <formula>59.999</formula>
    </cfRule>
    <cfRule type="cellIs" dxfId="64" priority="90" stopIfTrue="1" operator="between">
      <formula>40</formula>
      <formula>49.999</formula>
    </cfRule>
    <cfRule type="cellIs" dxfId="63" priority="91" stopIfTrue="1" operator="lessThan">
      <formula>40</formula>
    </cfRule>
  </conditionalFormatting>
  <conditionalFormatting sqref="K7:K8">
    <cfRule type="expression" dxfId="62" priority="92" stopIfTrue="1">
      <formula>ISBLANK(K7)</formula>
    </cfRule>
    <cfRule type="cellIs" dxfId="61" priority="93" stopIfTrue="1" operator="equal">
      <formula>"No grades yet"</formula>
    </cfRule>
    <cfRule type="cellIs" dxfId="60" priority="94" stopIfTrue="1" operator="greaterThanOrEqual">
      <formula>70</formula>
    </cfRule>
    <cfRule type="cellIs" dxfId="59" priority="95" stopIfTrue="1" operator="between">
      <formula>60</formula>
      <formula>69.999</formula>
    </cfRule>
    <cfRule type="cellIs" dxfId="58" priority="96" stopIfTrue="1" operator="between">
      <formula>50</formula>
      <formula>59.999</formula>
    </cfRule>
    <cfRule type="cellIs" dxfId="57" priority="97" stopIfTrue="1" operator="between">
      <formula>40</formula>
      <formula>49.999</formula>
    </cfRule>
    <cfRule type="cellIs" dxfId="56" priority="98" stopIfTrue="1" operator="lessThan">
      <formula>40</formula>
    </cfRule>
  </conditionalFormatting>
  <conditionalFormatting sqref="H9:H13">
    <cfRule type="expression" dxfId="55" priority="99" stopIfTrue="1">
      <formula>ISBLANK(H9)</formula>
    </cfRule>
    <cfRule type="cellIs" dxfId="54" priority="100" stopIfTrue="1" operator="equal">
      <formula>"No grades yet"</formula>
    </cfRule>
    <cfRule type="cellIs" dxfId="53" priority="101" stopIfTrue="1" operator="greaterThanOrEqual">
      <formula>70</formula>
    </cfRule>
    <cfRule type="cellIs" dxfId="52" priority="102" stopIfTrue="1" operator="between">
      <formula>60</formula>
      <formula>69.999</formula>
    </cfRule>
    <cfRule type="cellIs" dxfId="51" priority="103" stopIfTrue="1" operator="between">
      <formula>50</formula>
      <formula>59.999</formula>
    </cfRule>
    <cfRule type="cellIs" dxfId="50" priority="104" stopIfTrue="1" operator="between">
      <formula>40</formula>
      <formula>49.999</formula>
    </cfRule>
    <cfRule type="cellIs" dxfId="49" priority="105" stopIfTrue="1" operator="lessThan">
      <formula>40</formula>
    </cfRule>
  </conditionalFormatting>
  <conditionalFormatting sqref="K9:K13">
    <cfRule type="expression" dxfId="48" priority="106" stopIfTrue="1">
      <formula>ISBLANK(K9)</formula>
    </cfRule>
    <cfRule type="cellIs" dxfId="47" priority="107" stopIfTrue="1" operator="equal">
      <formula>"No grades yet"</formula>
    </cfRule>
    <cfRule type="cellIs" dxfId="46" priority="108" stopIfTrue="1" operator="greaterThanOrEqual">
      <formula>70</formula>
    </cfRule>
    <cfRule type="cellIs" dxfId="45" priority="109" stopIfTrue="1" operator="between">
      <formula>60</formula>
      <formula>69.999</formula>
    </cfRule>
    <cfRule type="cellIs" dxfId="44" priority="110" stopIfTrue="1" operator="between">
      <formula>50</formula>
      <formula>59.999</formula>
    </cfRule>
    <cfRule type="cellIs" dxfId="43" priority="111" stopIfTrue="1" operator="between">
      <formula>40</formula>
      <formula>49.999</formula>
    </cfRule>
    <cfRule type="cellIs" dxfId="42" priority="112" stopIfTrue="1" operator="lessThan">
      <formula>40</formula>
    </cfRule>
  </conditionalFormatting>
  <conditionalFormatting sqref="H14">
    <cfRule type="expression" dxfId="41" priority="113" stopIfTrue="1">
      <formula>ISBLANK(H14)</formula>
    </cfRule>
    <cfRule type="cellIs" dxfId="40" priority="114" stopIfTrue="1" operator="equal">
      <formula>"No grades yet"</formula>
    </cfRule>
    <cfRule type="cellIs" dxfId="39" priority="115" stopIfTrue="1" operator="greaterThanOrEqual">
      <formula>70</formula>
    </cfRule>
    <cfRule type="cellIs" dxfId="38" priority="116" stopIfTrue="1" operator="between">
      <formula>60</formula>
      <formula>69.999</formula>
    </cfRule>
    <cfRule type="cellIs" dxfId="37" priority="117" stopIfTrue="1" operator="between">
      <formula>50</formula>
      <formula>59.999</formula>
    </cfRule>
    <cfRule type="cellIs" dxfId="36" priority="118" stopIfTrue="1" operator="between">
      <formula>40</formula>
      <formula>49.999</formula>
    </cfRule>
    <cfRule type="cellIs" dxfId="35" priority="119" stopIfTrue="1" operator="lessThan">
      <formula>40</formula>
    </cfRule>
  </conditionalFormatting>
  <conditionalFormatting sqref="K14">
    <cfRule type="expression" dxfId="34" priority="120" stopIfTrue="1">
      <formula>ISBLANK(K14)</formula>
    </cfRule>
    <cfRule type="cellIs" dxfId="33" priority="121" stopIfTrue="1" operator="equal">
      <formula>"No grades yet"</formula>
    </cfRule>
    <cfRule type="cellIs" dxfId="32" priority="122" stopIfTrue="1" operator="greaterThanOrEqual">
      <formula>70</formula>
    </cfRule>
    <cfRule type="cellIs" dxfId="31" priority="123" stopIfTrue="1" operator="between">
      <formula>60</formula>
      <formula>69.999</formula>
    </cfRule>
    <cfRule type="cellIs" dxfId="30" priority="124" stopIfTrue="1" operator="between">
      <formula>50</formula>
      <formula>59.999</formula>
    </cfRule>
    <cfRule type="cellIs" dxfId="29" priority="125" stopIfTrue="1" operator="between">
      <formula>40</formula>
      <formula>49.999</formula>
    </cfRule>
    <cfRule type="cellIs" dxfId="28" priority="126" stopIfTrue="1" operator="lessThan">
      <formula>40</formula>
    </cfRule>
  </conditionalFormatting>
  <conditionalFormatting sqref="H15">
    <cfRule type="expression" dxfId="27" priority="127" stopIfTrue="1">
      <formula>ISBLANK(H15)</formula>
    </cfRule>
    <cfRule type="cellIs" dxfId="26" priority="128" stopIfTrue="1" operator="equal">
      <formula>"No grades yet"</formula>
    </cfRule>
    <cfRule type="cellIs" dxfId="25" priority="129" stopIfTrue="1" operator="greaterThanOrEqual">
      <formula>70</formula>
    </cfRule>
    <cfRule type="cellIs" dxfId="24" priority="130" stopIfTrue="1" operator="between">
      <formula>60</formula>
      <formula>69.999</formula>
    </cfRule>
    <cfRule type="cellIs" dxfId="23" priority="131" stopIfTrue="1" operator="between">
      <formula>50</formula>
      <formula>59.999</formula>
    </cfRule>
    <cfRule type="cellIs" dxfId="22" priority="132" stopIfTrue="1" operator="between">
      <formula>40</formula>
      <formula>49.999</formula>
    </cfRule>
    <cfRule type="cellIs" dxfId="21" priority="133" stopIfTrue="1" operator="lessThan">
      <formula>40</formula>
    </cfRule>
  </conditionalFormatting>
  <conditionalFormatting sqref="K15">
    <cfRule type="expression" dxfId="20" priority="134" stopIfTrue="1">
      <formula>ISBLANK(K15)</formula>
    </cfRule>
    <cfRule type="cellIs" dxfId="19" priority="135" stopIfTrue="1" operator="equal">
      <formula>"No grades yet"</formula>
    </cfRule>
    <cfRule type="cellIs" dxfId="18" priority="136" stopIfTrue="1" operator="greaterThanOrEqual">
      <formula>70</formula>
    </cfRule>
    <cfRule type="cellIs" dxfId="17" priority="137" stopIfTrue="1" operator="between">
      <formula>60</formula>
      <formula>69.999</formula>
    </cfRule>
    <cfRule type="cellIs" dxfId="16" priority="138" stopIfTrue="1" operator="between">
      <formula>50</formula>
      <formula>59.999</formula>
    </cfRule>
    <cfRule type="cellIs" dxfId="15" priority="139" stopIfTrue="1" operator="between">
      <formula>40</formula>
      <formula>49.999</formula>
    </cfRule>
    <cfRule type="cellIs" dxfId="14" priority="140" stopIfTrue="1" operator="lessThan">
      <formula>40</formula>
    </cfRule>
  </conditionalFormatting>
  <conditionalFormatting sqref="H16:H17">
    <cfRule type="expression" dxfId="13" priority="141" stopIfTrue="1">
      <formula>ISBLANK(H16)</formula>
    </cfRule>
    <cfRule type="cellIs" dxfId="12" priority="142" stopIfTrue="1" operator="equal">
      <formula>"No grades yet"</formula>
    </cfRule>
    <cfRule type="cellIs" dxfId="11" priority="143" stopIfTrue="1" operator="greaterThanOrEqual">
      <formula>70</formula>
    </cfRule>
    <cfRule type="cellIs" dxfId="10" priority="144" stopIfTrue="1" operator="between">
      <formula>60</formula>
      <formula>69.999</formula>
    </cfRule>
    <cfRule type="cellIs" dxfId="9" priority="145" stopIfTrue="1" operator="between">
      <formula>50</formula>
      <formula>59.999</formula>
    </cfRule>
    <cfRule type="cellIs" dxfId="8" priority="146" stopIfTrue="1" operator="between">
      <formula>40</formula>
      <formula>49.999</formula>
    </cfRule>
    <cfRule type="cellIs" dxfId="7" priority="147" stopIfTrue="1" operator="lessThan">
      <formula>40</formula>
    </cfRule>
  </conditionalFormatting>
  <conditionalFormatting sqref="K16:K17">
    <cfRule type="expression" dxfId="6" priority="148" stopIfTrue="1">
      <formula>ISBLANK(K16)</formula>
    </cfRule>
    <cfRule type="cellIs" dxfId="5" priority="149" stopIfTrue="1" operator="equal">
      <formula>"No grades yet"</formula>
    </cfRule>
    <cfRule type="cellIs" dxfId="4" priority="150" stopIfTrue="1" operator="greaterThanOrEqual">
      <formula>70</formula>
    </cfRule>
    <cfRule type="cellIs" dxfId="3" priority="151" stopIfTrue="1" operator="between">
      <formula>60</formula>
      <formula>69.999</formula>
    </cfRule>
    <cfRule type="cellIs" dxfId="2" priority="152" stopIfTrue="1" operator="between">
      <formula>50</formula>
      <formula>59.999</formula>
    </cfRule>
    <cfRule type="cellIs" dxfId="1" priority="153" stopIfTrue="1" operator="between">
      <formula>40</formula>
      <formula>49.999</formula>
    </cfRule>
    <cfRule type="cellIs" dxfId="0" priority="154" stopIfTrue="1" operator="lessThan">
      <formula>40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topLeftCell="H1" workbookViewId="0">
      <selection activeCell="F16" sqref="F16"/>
    </sheetView>
  </sheetViews>
  <sheetFormatPr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Y1 MBE</vt:lpstr>
      <vt:lpstr>Y2 MBE</vt:lpstr>
      <vt:lpstr>Y3 MBE</vt:lpstr>
      <vt:lpstr>Y4 MBE</vt:lpstr>
      <vt:lpstr>Y1 BME</vt:lpstr>
      <vt:lpstr>Y2 BME</vt:lpstr>
      <vt:lpstr>Y3 BME</vt:lpstr>
      <vt:lpstr>Y4 BME</vt:lpstr>
      <vt:lpstr>Y1 BTV</vt:lpstr>
      <vt:lpstr>Y2 BTV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2024-11-01T17:46:06Z</dcterms:modified>
</cp:coreProperties>
</file>